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4f06fa95c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95045f896e24ca8"/>
    <x:sheet xmlns:r="http://schemas.openxmlformats.org/officeDocument/2006/relationships" name="Testes manuais" sheetId="2" r:id="R40e8aad346a045cc"/>
    <x:sheet xmlns:r="http://schemas.openxmlformats.org/officeDocument/2006/relationships" name="Listas" sheetId="3" r:id="Rb14be5ea0746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62440"/>
      <x:name val="Arial"/>
    </x:font>
    <x:font>
      <x:i/>
      <x:sz val="10"/>
      <x:color rgb="FF385187"/>
      <x:name val="Arial"/>
    </x:font>
    <x:font>
      <x:b/>
      <x:sz val="11"/>
      <x:color rgb="FFFFFFFF"/>
      <x:name val="Arial"/>
    </x:font>
    <x:font>
      <x:sz val="10"/>
      <x:color rgb="FF162440"/>
      <x:name val="Arial"/>
    </x:font>
    <x:font>
      <x:sz val="9"/>
      <x:color rgb="FF172033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C406E"/>
      </x:patternFill>
    </x:fill>
  </x:fills>
  <x:borders count="14">
    <x:border/>
    <x:border>
      <x:left style="thin">
        <x:color rgb="FF2C406E"/>
      </x:left>
      <x:top style="thin">
        <x:color rgb="FF2C406E"/>
      </x:top>
      <x:bottom style="thin">
        <x:color rgb="FF2C406E"/>
      </x:bottom>
    </x:border>
    <x:border>
      <x:right style="thin">
        <x:color rgb="FF2C406E"/>
      </x:right>
      <x:top style="thin">
        <x:color rgb="FF2C406E"/>
      </x:top>
      <x:bottom style="thin">
        <x:color rgb="FF2C406E"/>
      </x:bottom>
    </x:border>
    <x:border>
      <x:right style="thin">
        <x:color rgb="FFCFD8E6"/>
      </x:right>
      <x:bottom style="thin">
        <x:color rgb="FFCFD8E6"/>
      </x:bottom>
    </x:border>
    <x:border>
      <x:left style="thin">
        <x:color rgb="FFCFD8E6"/>
      </x:left>
      <x:bottom style="thin">
        <x:color rgb="FFCFD8E6"/>
      </x:bottom>
    </x:border>
    <x:border>
      <x:right style="thin">
        <x:color rgb="FFCFD8E6"/>
      </x:right>
      <x:top style="thin">
        <x:color rgb="FFCFD8E6"/>
      </x:top>
      <x:bottom style="thin">
        <x:color rgb="FFCFD8E6"/>
      </x:bottom>
    </x:border>
    <x:border>
      <x:left style="thin">
        <x:color rgb="FFCFD8E6"/>
      </x:left>
      <x:top style="thin">
        <x:color rgb="FFCFD8E6"/>
      </x:top>
      <x:bottom style="thin">
        <x:color rgb="FFCFD8E6"/>
      </x:bottom>
    </x:border>
    <x:border>
      <x:right style="thin">
        <x:color rgb="FFCFD8E6"/>
      </x:right>
      <x:top style="thin">
        <x:color rgb="FFCFD8E6"/>
      </x:top>
    </x:border>
    <x:border>
      <x:left style="thin">
        <x:color rgb="FFCFD8E6"/>
      </x:left>
      <x:top style="thin">
        <x:color rgb="FFCFD8E6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CE3ED"/>
      </x:bottom>
    </x:border>
    <x:border>
      <x:top style="thin">
        <x:color rgb="FFDCE3ED"/>
      </x:top>
      <x:bottom style="thin">
        <x:color rgb="FFDCE3ED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200" fontId="5" fillId="0" borderId="12" xfId="0" applyNumberFormat="1" applyFont="1" applyFill="1" applyBorder="1" applyAlignment="1">
      <x:alignment vertical="top" wrapText="1"/>
    </x:xf>
    <x:xf numFmtId="200" fontId="5" fillId="0" borderId="1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006414"/>
      </x:font>
      <x:fill>
        <x:patternFill patternType="solid">
          <x:bgColor rgb="FFD9EEDD"/>
        </x:patternFill>
      </x:fill>
    </x:dxf>
    <x:dxf>
      <x:font>
        <x:b/>
        <x:color rgb="FF9C1C1C"/>
      </x:font>
      <x:fill>
        <x:patternFill patternType="solid">
          <x:bgColor rgb="FFFADDDD"/>
        </x:patternFill>
      </x:fill>
    </x:dxf>
    <x:dxf>
      <x:font>
        <x:b/>
        <x:color rgb="FF2C406E"/>
      </x:font>
      <x:fill>
        <x:patternFill patternType="solid">
          <x:bgColor rgb="FFDDE8F7"/>
        </x:patternFill>
      </x:fill>
    </x:dxf>
    <x:dxf>
      <x:font>
        <x:b/>
        <x:color rgb="FF8A4B00"/>
      </x:font>
      <x:fill>
        <x:patternFill patternType="solid">
          <x:bgColor rgb="FFFDEBCF"/>
        </x:patternFill>
      </x:fill>
    </x:dxf>
    <x:dxf>
      <x:font>
        <x:b/>
        <x:color rgb="FF7A5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05d90dac04ea0" /><Relationship Type="http://schemas.openxmlformats.org/officeDocument/2006/relationships/theme" Target="/xl/theme/theme1.xml" Id="Re10f3c0e7db845a0" /><Relationship Type="http://schemas.openxmlformats.org/officeDocument/2006/relationships/sharedStrings" Target="/xl/sharedStrings.xml" Id="Ra42b9c57aa5a4749" /><Relationship Type="http://schemas.openxmlformats.org/officeDocument/2006/relationships/worksheet" Target="/xl/worksheets/sheet1.xml" Id="R695045f896e24ca8" /><Relationship Type="http://schemas.openxmlformats.org/officeDocument/2006/relationships/worksheet" Target="/xl/worksheets/sheet2.xml" Id="R40e8aad346a045cc" /><Relationship Type="http://schemas.openxmlformats.org/officeDocument/2006/relationships/worksheet" Target="/xl/worksheets/sheet3.xml" Id="Rb14be5ea0746465d" /></Relationships>
</file>

<file path=xl/tables/table1.xml><?xml version="1.0" encoding="utf-8"?>
<x:table xmlns:x="http://schemas.openxmlformats.org/spreadsheetml/2006/main" id="1" name="TestesManuais" displayName="TestesManuais" ref="A5:L71" headerRowCount="1" totalsRowCount="0" totalsRowShown="0">
  <x:tableColumns count="12">
    <x:tableColumn id="1" name="ID"/>
    <x:tableColumn id="2" name="Módulo"/>
    <x:tableColumn id="3" name="Teste"/>
    <x:tableColumn id="4" name="Pré-condições"/>
    <x:tableColumn id="5" name="Passos"/>
    <x:tableColumn id="6" name="Resultado esperado"/>
    <x:tableColumn id="7" name="Prioridade"/>
    <x:tableColumn id="8" name="Altera dados"/>
    <x:tableColumn id="9" name="Dados/observações iniciais"/>
    <x:tableColumn id="10" name="Status"/>
    <x:tableColumn id="11" name="Data"/>
    <x:tableColumn id="12" name="Evidência e 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6c2741462b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" hidden="0" customWidth="1"/>
    <x:col min="4" max="4" width="18" hidden="0" customWidth="1"/>
    <x:col min="5" max="5" width="58" hidden="0" customWidth="1"/>
  </x:cols>
  <x:sheetData>
    <x:row r="1" ht="28" customHeight="1">
      <x:c r="A1" s="1" t="str">
        <x:v>LSAssist — acompanhamento de testes manuais</x:v>
      </x:c>
      <x:c r="B1" s="1"/>
      <x:c r="C1" s="1"/>
      <x:c r="D1" s="1"/>
      <x:c r="E1" s="1"/>
      <x:c r="F1" s="1"/>
    </x:row>
    <x:row r="2">
      <x:c r="A2" s="3" t="str">
        <x:v>Homologação. Atualize a coluna Status na aba Testes manuais e registre evidências sem senhas ou dados pessoais reais.</x:v>
      </x:c>
      <x:c r="B2" s="3"/>
      <x:c r="C2" s="3"/>
      <x:c r="D2" s="3"/>
      <x:c r="E2" s="3"/>
      <x:c r="F2" s="3"/>
    </x:row>
    <x:row r="4" ht="24" customHeight="1">
      <x:c r="A4" s="6" t="str">
        <x:v>Indicador</x:v>
      </x:c>
      <x:c r="B4" s="7" t="str">
        <x:v>Quantidade</x:v>
      </x:c>
      <x:c r="D4" s="15" t="str">
        <x:v>Orientação</x:v>
      </x:c>
      <x:c r="E4" s="16" t="str">
        <x:v>Uso</x:v>
      </x:c>
    </x:row>
    <x:row r="5" ht="24" customHeight="1">
      <x:c r="A5" s="9" t="str">
        <x:v>Total</x:v>
      </x:c>
      <x:c r="B5" s="10" t="n">
        <x:f>COUNTA('Testes manuais'!$A$6:$A$205)</x:f>
        <x:v>66</x:v>
      </x:c>
      <x:c r="D5" s="17" t="str">
        <x:v>Ambiente</x:v>
      </x:c>
      <x:c r="E5" s="18" t="str">
        <x:v>Execute na homologação, salvo indicação contrária.</x:v>
      </x:c>
    </x:row>
    <x:row r="6" ht="24" customHeight="1">
      <x:c r="A6" s="11" t="str">
        <x:v>Não iniciado</x:v>
      </x:c>
      <x:c r="B6" s="12" t="n">
        <x:f>COUNTIF('Testes manuais'!$J$6:$J$205,"Não iniciado")</x:f>
        <x:v>66</x:v>
      </x:c>
      <x:c r="D6" s="19" t="str">
        <x:v>Dados</x:v>
      </x:c>
      <x:c r="E6" s="20" t="str">
        <x:v>Use clientes, CPFs, e-mails e equipamentos fictícios.</x:v>
      </x:c>
    </x:row>
    <x:row r="7" ht="24" customHeight="1">
      <x:c r="A7" s="11" t="str">
        <x:v>Em execução</x:v>
      </x:c>
      <x:c r="B7" s="12" t="n">
        <x:f>COUNTIF('Testes manuais'!$J$6:$J$205,"Em execução")</x:f>
        <x:v>0</x:v>
      </x:c>
      <x:c r="D7" s="19" t="str">
        <x:v>Evidência</x:v>
      </x:c>
      <x:c r="E7" s="20" t="str">
        <x:v>Anote data, versão e captura/log sem credenciais.</x:v>
      </x:c>
    </x:row>
    <x:row r="8" ht="24" customHeight="1">
      <x:c r="A8" s="11" t="str">
        <x:v>Passou</x:v>
      </x:c>
      <x:c r="B8" s="12" t="n">
        <x:f>COUNTIF('Testes manuais'!$J$6:$J$205,"Passou")</x:f>
        <x:v>0</x:v>
      </x:c>
      <x:c r="D8" s="21" t="str">
        <x:v>Falha</x:v>
      </x:c>
      <x:c r="E8" s="22" t="str">
        <x:v>Não altere dados para forçar sucesso; descreva o ocorrido.</x:v>
      </x:c>
    </x:row>
    <x:row r="9" ht="24" customHeight="1">
      <x:c r="A9" s="13" t="str">
        <x:v>Falhou</x:v>
      </x:c>
      <x:c r="B9" s="14" t="n">
        <x:f>COUNTIF('Testes manuais'!$J$6:$J$205,"Falhou")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1" hidden="0" customWidth="1"/>
    <x:col min="4" max="4" width="32" hidden="0" customWidth="1"/>
    <x:col min="5" max="5" width="48" hidden="0" customWidth="1"/>
    <x:col min="6" max="6" width="50" hidden="0" customWidth="1"/>
    <x:col min="7" max="7" width="12" hidden="0" customWidth="1"/>
    <x:col min="8" max="8" width="14" hidden="0" customWidth="1"/>
    <x:col min="9" max="9" width="30" hidden="0" customWidth="1"/>
    <x:col min="10" max="10" width="16" hidden="0" customWidth="1"/>
    <x:col min="11" max="11" width="13" hidden="0" customWidth="1"/>
    <x:col min="12" max="12" width="44" hidden="0" customWidth="1"/>
  </x:cols>
  <x:sheetData>
    <x:row r="1" ht="28" customHeight="1">
      <x:c r="A1" s="1" t="str">
        <x:v>LSAssist — roteiro de testes manuais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Preencha Status, Data, Evidência e Observações. Linhas com Altera dados = Sim devem usar somente registros fictícios na homologação.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5" ht="34" customHeight="1">
      <x:c r="A5" s="29" t="str">
        <x:v>ID</x:v>
      </x:c>
      <x:c r="B5" s="30" t="str">
        <x:v>Módulo</x:v>
      </x:c>
      <x:c r="C5" s="30" t="str">
        <x:v>Teste</x:v>
      </x:c>
      <x:c r="D5" s="30" t="str">
        <x:v>Pré-condições</x:v>
      </x:c>
      <x:c r="E5" s="30" t="str">
        <x:v>Passos</x:v>
      </x:c>
      <x:c r="F5" s="30" t="str">
        <x:v>Resultado esperado</x:v>
      </x:c>
      <x:c r="G5" s="30" t="str">
        <x:v>Prioridade</x:v>
      </x:c>
      <x:c r="H5" s="30" t="str">
        <x:v>Altera dados</x:v>
      </x:c>
      <x:c r="I5" s="30" t="str">
        <x:v>Dados/observações iniciais</x:v>
      </x:c>
      <x:c r="J5" s="30" t="str">
        <x:v>Status</x:v>
      </x:c>
      <x:c r="K5" s="30" t="str">
        <x:v>Data</x:v>
      </x:c>
      <x:c r="L5" s="31" t="str">
        <x:v>Evidência e observações</x:v>
      </x:c>
    </x:row>
    <x:row r="6" ht="15" hidden="0" customHeight="1">
      <x:c r="A6" s="37" t="str">
        <x:v>AUTH-001</x:v>
      </x:c>
      <x:c r="B6" s="37" t="str">
        <x:v>Acesso</x:v>
      </x:c>
      <x:c r="C6" s="37" t="str">
        <x:v>Login válido</x:v>
      </x:c>
      <x:c r="D6" s="37" t="str">
        <x:v>Conta ativa na homologação</x:v>
      </x:c>
      <x:c r="E6" s="37" t="str">
        <x:v>Abrir o sistema; informar e-mail e senha válidos; entrar</x:v>
      </x:c>
      <x:c r="F6" s="37" t="str">
        <x:v>Painel Resumo abre e mostra a assistência correta</x:v>
      </x:c>
      <x:c r="G6" s="39" t="str">
        <x:v>Alta</x:v>
      </x:c>
      <x:c r="H6" s="39" t="str">
        <x:v>Não</x:v>
      </x:c>
      <x:c r="I6" s="37" t="str">
        <x:v>Conta DONO</x:v>
      </x:c>
      <x:c r="J6" s="37" t="str">
        <x:v>Não iniciado</x:v>
      </x:c>
      <x:c r="K6" s="41"/>
      <x:c r="L6" s="37" t="str"/>
    </x:row>
    <x:row r="7" ht="15" hidden="0" customHeight="1">
      <x:c r="A7" s="38" t="str">
        <x:v>AUTH-002</x:v>
      </x:c>
      <x:c r="B7" s="38" t="str">
        <x:v>Acesso</x:v>
      </x:c>
      <x:c r="C7" s="38" t="str">
        <x:v>Senha incorreta</x:v>
      </x:c>
      <x:c r="D7" s="38" t="str">
        <x:v>Conta existente</x:v>
      </x:c>
      <x:c r="E7" s="38" t="str">
        <x:v>Tentar entrar com senha incorreta</x:v>
      </x:c>
      <x:c r="F7" s="38" t="str">
        <x:v>Login é recusado com mensagem clara, sem informar se o e-mail existe</x:v>
      </x:c>
      <x:c r="G7" s="40" t="str">
        <x:v>Alta</x:v>
      </x:c>
      <x:c r="H7" s="40" t="str">
        <x:v>Não</x:v>
      </x:c>
      <x:c r="I7" s="38" t="str"/>
      <x:c r="J7" s="38" t="str">
        <x:v>Não iniciado</x:v>
      </x:c>
      <x:c r="K7" s="42"/>
      <x:c r="L7" s="38" t="str"/>
    </x:row>
    <x:row r="8" ht="15" hidden="0" customHeight="1">
      <x:c r="A8" s="38" t="str">
        <x:v>AUTH-003</x:v>
      </x:c>
      <x:c r="B8" s="38" t="str">
        <x:v>Acesso</x:v>
      </x:c>
      <x:c r="C8" s="38" t="str">
        <x:v>Campos obrigatórios</x:v>
      </x:c>
      <x:c r="D8" s="38" t="str">
        <x:v>Tela de login aberta</x:v>
      </x:c>
      <x:c r="E8" s="38" t="str">
        <x:v>Enviar formulário vazio e depois preencher somente um campo</x:v>
      </x:c>
      <x:c r="F8" s="38" t="str">
        <x:v>Campos ausentes são indicados e nenhuma requisição válida é concluída</x:v>
      </x:c>
      <x:c r="G8" s="40" t="str">
        <x:v>Média</x:v>
      </x:c>
      <x:c r="H8" s="40" t="str">
        <x:v>Não</x:v>
      </x:c>
      <x:c r="I8" s="38" t="str"/>
      <x:c r="J8" s="38" t="str">
        <x:v>Não iniciado</x:v>
      </x:c>
      <x:c r="K8" s="42"/>
      <x:c r="L8" s="38" t="str"/>
    </x:row>
    <x:row r="9" ht="15" hidden="0" customHeight="1">
      <x:c r="A9" s="38" t="str">
        <x:v>AUTH-004</x:v>
      </x:c>
      <x:c r="B9" s="38" t="str">
        <x:v>Acesso</x:v>
      </x:c>
      <x:c r="C9" s="38" t="str">
        <x:v>Sair da conta</x:v>
      </x:c>
      <x:c r="D9" s="38" t="str">
        <x:v>Usuário autenticado</x:v>
      </x:c>
      <x:c r="E9" s="38" t="str">
        <x:v>Clicar em Sair; tentar voltar pelo navegador</x:v>
      </x:c>
      <x:c r="F9" s="38" t="str">
        <x:v>Sessão termina e páginas internas não reaparecem sem novo login</x:v>
      </x:c>
      <x:c r="G9" s="40" t="str">
        <x:v>Alta</x:v>
      </x:c>
      <x:c r="H9" s="40" t="str">
        <x:v>Não</x:v>
      </x:c>
      <x:c r="I9" s="38" t="str"/>
      <x:c r="J9" s="38" t="str">
        <x:v>Não iniciado</x:v>
      </x:c>
      <x:c r="K9" s="42"/>
      <x:c r="L9" s="38" t="str"/>
    </x:row>
    <x:row r="10" ht="21.600000381469727" hidden="0" customHeight="1">
      <x:c r="A10" s="38" t="str">
        <x:v>AUTH-005</x:v>
      </x:c>
      <x:c r="B10" s="38" t="str">
        <x:v>Acesso</x:v>
      </x:c>
      <x:c r="C10" s="38" t="str">
        <x:v>Sessão expirada</x:v>
      </x:c>
      <x:c r="D10" s="38" t="str">
        <x:v>Usuário autenticado; expirar/revogar sessão de teste</x:v>
      </x:c>
      <x:c r="E10" s="38" t="str">
        <x:v>Executar uma ação protegida</x:v>
      </x:c>
      <x:c r="F10" s="38" t="str">
        <x:v>Sistema pede novo login e preserva mensagem compreensível</x:v>
      </x:c>
      <x:c r="G10" s="40" t="str">
        <x:v>Alta</x:v>
      </x:c>
      <x:c r="H10" s="40" t="str">
        <x:v>Não</x:v>
      </x:c>
      <x:c r="I10" s="38" t="str">
        <x:v>Pode exigir painel Supabase</x:v>
      </x:c>
      <x:c r="J10" s="38" t="str">
        <x:v>Não iniciado</x:v>
      </x:c>
      <x:c r="K10" s="42"/>
      <x:c r="L10" s="38" t="str"/>
    </x:row>
    <x:row r="11" ht="15" hidden="0" customHeight="1">
      <x:c r="A11" s="38" t="str">
        <x:v>AUTH-006</x:v>
      </x:c>
      <x:c r="B11" s="38" t="str">
        <x:v>Acesso</x:v>
      </x:c>
      <x:c r="C11" s="38" t="str">
        <x:v>Convite válido</x:v>
      </x:c>
      <x:c r="D11" s="38" t="str">
        <x:v>Convite novo e não utilizado</x:v>
      </x:c>
      <x:c r="E11" s="38" t="str">
        <x:v>Abrir link; criar senha; entrar</x:v>
      </x:c>
      <x:c r="F11" s="38" t="str">
        <x:v>Senha é criada e o usuário acessa somente sua assistência</x:v>
      </x:c>
      <x:c r="G11" s="40" t="str">
        <x:v>Alta</x:v>
      </x:c>
      <x:c r="H11" s="40" t="str">
        <x:v>Não</x:v>
      </x:c>
      <x:c r="I11" s="38" t="str">
        <x:v>Usar e-mail de teste</x:v>
      </x:c>
      <x:c r="J11" s="38" t="str">
        <x:v>Não iniciado</x:v>
      </x:c>
      <x:c r="K11" s="42"/>
      <x:c r="L11" s="38" t="str"/>
    </x:row>
    <x:row r="12" ht="15" hidden="0" customHeight="1">
      <x:c r="A12" s="38" t="str">
        <x:v>AUTH-007</x:v>
      </x:c>
      <x:c r="B12" s="38" t="str">
        <x:v>Acesso</x:v>
      </x:c>
      <x:c r="C12" s="38" t="str">
        <x:v>Convite inválido ou usado</x:v>
      </x:c>
      <x:c r="D12" s="38" t="str">
        <x:v>Link expirado/usado</x:v>
      </x:c>
      <x:c r="E12" s="38" t="str">
        <x:v>Abrir o link</x:v>
      </x:c>
      <x:c r="F12" s="38" t="str">
        <x:v>Tela informa convite inválido/expirado e oferece retorno ao login</x:v>
      </x:c>
      <x:c r="G12" s="40" t="str">
        <x:v>Média</x:v>
      </x:c>
      <x:c r="H12" s="40" t="str">
        <x:v>Não</x:v>
      </x:c>
      <x:c r="I12" s="38" t="str"/>
      <x:c r="J12" s="38" t="str">
        <x:v>Não iniciado</x:v>
      </x:c>
      <x:c r="K12" s="42"/>
      <x:c r="L12" s="38" t="str"/>
    </x:row>
    <x:row r="13" ht="21.600000381469727" hidden="0" customHeight="1">
      <x:c r="A13" s="38" t="str">
        <x:v>NAV-001</x:v>
      </x:c>
      <x:c r="B13" s="38" t="str">
        <x:v>Interface</x:v>
      </x:c>
      <x:c r="C13" s="38" t="str">
        <x:v>Menu principal</x:v>
      </x:c>
      <x:c r="D13" s="38" t="str">
        <x:v>Usuário autenticado</x:v>
      </x:c>
      <x:c r="E13" s="38" t="str">
        <x:v>Abrir cada item do menu lateral</x:v>
      </x:c>
      <x:c r="F13" s="38" t="str">
        <x:v>Resumo, Clientes, Equipamentos, Estoque, OS e área autorizada abrem sem erro</x:v>
      </x:c>
      <x:c r="G13" s="40" t="str">
        <x:v>Alta</x:v>
      </x:c>
      <x:c r="H13" s="40" t="str">
        <x:v>Não</x:v>
      </x:c>
      <x:c r="I13" s="38" t="str"/>
      <x:c r="J13" s="38" t="str">
        <x:v>Não iniciado</x:v>
      </x:c>
      <x:c r="K13" s="42"/>
      <x:c r="L13" s="38" t="str"/>
    </x:row>
    <x:row r="14" ht="15" hidden="0" customHeight="1">
      <x:c r="A14" s="38" t="str">
        <x:v>NAV-002</x:v>
      </x:c>
      <x:c r="B14" s="38" t="str">
        <x:v>Interface</x:v>
      </x:c>
      <x:c r="C14" s="38" t="str">
        <x:v>Tema claro e escuro</x:v>
      </x:c>
      <x:c r="D14" s="38" t="str">
        <x:v>Usuário autenticado</x:v>
      </x:c>
      <x:c r="E14" s="38" t="str">
        <x:v>Alternar o tema em todas as telas principais</x:v>
      </x:c>
      <x:c r="F14" s="38" t="str">
        <x:v>Textos, botões, campos, hover e status mantêm contraste e legibilidade</x:v>
      </x:c>
      <x:c r="G14" s="40" t="str">
        <x:v>Alta</x:v>
      </x:c>
      <x:c r="H14" s="40" t="str">
        <x:v>Não</x:v>
      </x:c>
      <x:c r="I14" s="38" t="str"/>
      <x:c r="J14" s="38" t="str">
        <x:v>Não iniciado</x:v>
      </x:c>
      <x:c r="K14" s="42"/>
      <x:c r="L14" s="38" t="str"/>
    </x:row>
    <x:row r="15" ht="15" hidden="0" customHeight="1">
      <x:c r="A15" s="38" t="str">
        <x:v>NAV-003</x:v>
      </x:c>
      <x:c r="B15" s="38" t="str">
        <x:v>Interface</x:v>
      </x:c>
      <x:c r="C15" s="38" t="str">
        <x:v>Redimensionamento</x:v>
      </x:c>
      <x:c r="D15" s="38" t="str">
        <x:v>Sistema aberto</x:v>
      </x:c>
      <x:c r="E15" s="38" t="str">
        <x:v>Testar em 1366x768 e largura móvel; rolar tabelas e modais</x:v>
      </x:c>
      <x:c r="F15" s="38" t="str">
        <x:v>Não há conteúdo cortado, sobreposição ou rolagem horizontal indevida</x:v>
      </x:c>
      <x:c r="G15" s="40" t="str">
        <x:v>Média</x:v>
      </x:c>
      <x:c r="H15" s="40" t="str">
        <x:v>Não</x:v>
      </x:c>
      <x:c r="I15" s="38" t="str"/>
      <x:c r="J15" s="38" t="str">
        <x:v>Não iniciado</x:v>
      </x:c>
      <x:c r="K15" s="42"/>
      <x:c r="L15" s="38" t="str"/>
    </x:row>
    <x:row r="16" ht="21.600000381469727" hidden="0" customHeight="1">
      <x:c r="A16" s="38" t="str">
        <x:v>NAV-004</x:v>
      </x:c>
      <x:c r="B16" s="38" t="str">
        <x:v>Interface</x:v>
      </x:c>
      <x:c r="C16" s="38" t="str">
        <x:v>Mensagens de erro</x:v>
      </x:c>
      <x:c r="D16" s="38" t="str">
        <x:v>Sistema aberto</x:v>
      </x:c>
      <x:c r="E16" s="38" t="str">
        <x:v>Provocar validações de formulário e uma falha de rede controlada</x:v>
      </x:c>
      <x:c r="F16" s="38" t="str">
        <x:v>Cada falha explica o que aconteceu e como corrigir; não mostra stack trace</x:v>
      </x:c>
      <x:c r="G16" s="40" t="str">
        <x:v>Alta</x:v>
      </x:c>
      <x:c r="H16" s="40" t="str">
        <x:v>Não</x:v>
      </x:c>
      <x:c r="I16" s="38" t="str">
        <x:v>Desconectar rede só após salvar trabalho</x:v>
      </x:c>
      <x:c r="J16" s="38" t="str">
        <x:v>Não iniciado</x:v>
      </x:c>
      <x:c r="K16" s="42"/>
      <x:c r="L16" s="38" t="str"/>
    </x:row>
    <x:row r="17" ht="15" hidden="0" customHeight="1">
      <x:c r="A17" s="38" t="str">
        <x:v>CLI-001</x:v>
      </x:c>
      <x:c r="B17" s="38" t="str">
        <x:v>Clientes</x:v>
      </x:c>
      <x:c r="C17" s="38" t="str">
        <x:v>Cadastrar cliente válido</x:v>
      </x:c>
      <x:c r="D17" s="38" t="str">
        <x:v>Usuário autenticado</x:v>
      </x:c>
      <x:c r="E17" s="38" t="str">
        <x:v>Cadastrar nome, CPF, telefone e endereço válidos</x:v>
      </x:c>
      <x:c r="F17" s="38" t="str">
        <x:v>Cliente aparece uma única vez na lista com dados formatados</x:v>
      </x:c>
      <x:c r="G17" s="40" t="str">
        <x:v>Alta</x:v>
      </x:c>
      <x:c r="H17" s="40" t="str">
        <x:v>Sim</x:v>
      </x:c>
      <x:c r="I17" s="38" t="str">
        <x:v>Excluir depois se houver recurso</x:v>
      </x:c>
      <x:c r="J17" s="38" t="str">
        <x:v>Não iniciado</x:v>
      </x:c>
      <x:c r="K17" s="42"/>
      <x:c r="L17" s="38" t="str"/>
    </x:row>
    <x:row r="18" ht="15" hidden="0" customHeight="1">
      <x:c r="A18" s="38" t="str">
        <x:v>CLI-002</x:v>
      </x:c>
      <x:c r="B18" s="38" t="str">
        <x:v>Clientes</x:v>
      </x:c>
      <x:c r="C18" s="38" t="str">
        <x:v>CPF inválido</x:v>
      </x:c>
      <x:c r="D18" s="38" t="str">
        <x:v>Cadastro de cliente aberto</x:v>
      </x:c>
      <x:c r="E18" s="38" t="str">
        <x:v>Informar CPF incompleto ou inválido e salvar</x:v>
      </x:c>
      <x:c r="F18" s="38" t="str">
        <x:v>Cadastro é bloqueado e o campo recebe mensagem específica</x:v>
      </x:c>
      <x:c r="G18" s="40" t="str">
        <x:v>Alta</x:v>
      </x:c>
      <x:c r="H18" s="40" t="str">
        <x:v>Não</x:v>
      </x:c>
      <x:c r="I18" s="38" t="str"/>
      <x:c r="J18" s="38" t="str">
        <x:v>Não iniciado</x:v>
      </x:c>
      <x:c r="K18" s="42"/>
      <x:c r="L18" s="38" t="str"/>
    </x:row>
    <x:row r="19" ht="15" hidden="0" customHeight="1">
      <x:c r="A19" s="38" t="str">
        <x:v>CLI-003</x:v>
      </x:c>
      <x:c r="B19" s="38" t="str">
        <x:v>Clientes</x:v>
      </x:c>
      <x:c r="C19" s="38" t="str">
        <x:v>Cliente duplicado</x:v>
      </x:c>
      <x:c r="D19" s="38" t="str">
        <x:v>Cliente de teste já cadastrado</x:v>
      </x:c>
      <x:c r="E19" s="38" t="str">
        <x:v>Tentar cadastrar novamente o mesmo CPF</x:v>
      </x:c>
      <x:c r="F19" s="38" t="str">
        <x:v>Duplicidade é bloqueada com mensagem clara</x:v>
      </x:c>
      <x:c r="G19" s="40" t="str">
        <x:v>Alta</x:v>
      </x:c>
      <x:c r="H19" s="40" t="str">
        <x:v>Sim</x:v>
      </x:c>
      <x:c r="I19" s="38" t="str"/>
      <x:c r="J19" s="38" t="str">
        <x:v>Não iniciado</x:v>
      </x:c>
      <x:c r="K19" s="42"/>
      <x:c r="L19" s="38" t="str"/>
    </x:row>
    <x:row r="20" ht="15" hidden="0" customHeight="1">
      <x:c r="A20" s="38" t="str">
        <x:v>CLI-004</x:v>
      </x:c>
      <x:c r="B20" s="38" t="str">
        <x:v>Clientes</x:v>
      </x:c>
      <x:c r="C20" s="38" t="str">
        <x:v>Pesquisar cliente</x:v>
      </x:c>
      <x:c r="D20" s="38" t="str">
        <x:v>Existem pelo menos dois clientes</x:v>
      </x:c>
      <x:c r="E20" s="38" t="str">
        <x:v>Pesquisar por parte do nome e depois limpar busca</x:v>
      </x:c>
      <x:c r="F20" s="38" t="str">
        <x:v>Somente correspondências aparecem; limpar restaura a lista</x:v>
      </x:c>
      <x:c r="G20" s="40" t="str">
        <x:v>Média</x:v>
      </x:c>
      <x:c r="H20" s="40" t="str">
        <x:v>Não</x:v>
      </x:c>
      <x:c r="I20" s="38" t="str"/>
      <x:c r="J20" s="38" t="str">
        <x:v>Não iniciado</x:v>
      </x:c>
      <x:c r="K20" s="42"/>
      <x:c r="L20" s="38" t="str"/>
    </x:row>
    <x:row r="21" ht="15" hidden="0" customHeight="1">
      <x:c r="A21" s="38" t="str">
        <x:v>CLI-005</x:v>
      </x:c>
      <x:c r="B21" s="38" t="str">
        <x:v>Clientes</x:v>
      </x:c>
      <x:c r="C21" s="38" t="str">
        <x:v>Editar cliente</x:v>
      </x:c>
      <x:c r="D21" s="38" t="str">
        <x:v>Cliente de teste existente</x:v>
      </x:c>
      <x:c r="E21" s="38" t="str">
        <x:v>Alterar telefone/endereço; salvar; recarregar</x:v>
      </x:c>
      <x:c r="F21" s="38" t="str">
        <x:v>Alterações permanecem e não criam novo cliente</x:v>
      </x:c>
      <x:c r="G21" s="40" t="str">
        <x:v>Alta</x:v>
      </x:c>
      <x:c r="H21" s="40" t="str">
        <x:v>Sim</x:v>
      </x:c>
      <x:c r="I21" s="38" t="str"/>
      <x:c r="J21" s="38" t="str">
        <x:v>Não iniciado</x:v>
      </x:c>
      <x:c r="K21" s="42"/>
      <x:c r="L21" s="38" t="str"/>
    </x:row>
    <x:row r="22" ht="15" hidden="0" customHeight="1">
      <x:c r="A22" s="38" t="str">
        <x:v>EQP-001</x:v>
      </x:c>
      <x:c r="B22" s="38" t="str">
        <x:v>Equipamentos</x:v>
      </x:c>
      <x:c r="C22" s="38" t="str">
        <x:v>Cadastrar equipamento por opções</x:v>
      </x:c>
      <x:c r="D22" s="38" t="str">
        <x:v>Cliente de teste existente</x:v>
      </x:c>
      <x:c r="E22" s="38" t="str">
        <x:v>Selecionar marca, modelo e cor; informar série; salvar</x:v>
      </x:c>
      <x:c r="F22" s="38" t="str">
        <x:v>Equipamento fica vinculado ao cliente correto</x:v>
      </x:c>
      <x:c r="G22" s="40" t="str">
        <x:v>Alta</x:v>
      </x:c>
      <x:c r="H22" s="40" t="str">
        <x:v>Sim</x:v>
      </x:c>
      <x:c r="I22" s="38" t="str"/>
      <x:c r="J22" s="38" t="str">
        <x:v>Não iniciado</x:v>
      </x:c>
      <x:c r="K22" s="42"/>
      <x:c r="L22" s="38" t="str"/>
    </x:row>
    <x:row r="23" ht="15" hidden="0" customHeight="1">
      <x:c r="A23" s="38" t="str">
        <x:v>EQP-002</x:v>
      </x:c>
      <x:c r="B23" s="38" t="str">
        <x:v>Equipamentos</x:v>
      </x:c>
      <x:c r="C23" s="38" t="str">
        <x:v>Opção Outro</x:v>
      </x:c>
      <x:c r="D23" s="38" t="str">
        <x:v>Cadastro de equipamento aberto</x:v>
      </x:c>
      <x:c r="E23" s="38" t="str">
        <x:v>Selecionar Outro em campo compatível; informar valor livre; salvar</x:v>
      </x:c>
      <x:c r="F23" s="38" t="str">
        <x:v>Campo livre aparece somente quando necessário e o valor é salvo</x:v>
      </x:c>
      <x:c r="G23" s="40" t="str">
        <x:v>Média</x:v>
      </x:c>
      <x:c r="H23" s="40" t="str">
        <x:v>Sim</x:v>
      </x:c>
      <x:c r="I23" s="38" t="str"/>
      <x:c r="J23" s="38" t="str">
        <x:v>Não iniciado</x:v>
      </x:c>
      <x:c r="K23" s="42"/>
      <x:c r="L23" s="38" t="str"/>
    </x:row>
    <x:row r="24" ht="15" hidden="0" customHeight="1">
      <x:c r="A24" s="38" t="str">
        <x:v>EQP-003</x:v>
      </x:c>
      <x:c r="B24" s="38" t="str">
        <x:v>Equipamentos</x:v>
      </x:c>
      <x:c r="C24" s="38" t="str">
        <x:v>Número de série duplicado</x:v>
      </x:c>
      <x:c r="D24" s="38" t="str">
        <x:v>Equipamento de teste existente</x:v>
      </x:c>
      <x:c r="E24" s="38" t="str">
        <x:v>Cadastrar outro com a mesma série</x:v>
      </x:c>
      <x:c r="F24" s="38" t="str">
        <x:v>Sistema aplica a regra prevista e informa duplicidade quando proibida</x:v>
      </x:c>
      <x:c r="G24" s="40" t="str">
        <x:v>Alta</x:v>
      </x:c>
      <x:c r="H24" s="40" t="str">
        <x:v>Sim</x:v>
      </x:c>
      <x:c r="I24" s="38" t="str">
        <x:v>Confirmar regra de negócio</x:v>
      </x:c>
      <x:c r="J24" s="38" t="str">
        <x:v>Não iniciado</x:v>
      </x:c>
      <x:c r="K24" s="42"/>
      <x:c r="L24" s="38" t="str"/>
    </x:row>
    <x:row r="25" ht="15" hidden="0" customHeight="1">
      <x:c r="A25" s="38" t="str">
        <x:v>EQP-004</x:v>
      </x:c>
      <x:c r="B25" s="38" t="str">
        <x:v>Equipamentos</x:v>
      </x:c>
      <x:c r="C25" s="38" t="str">
        <x:v>Editar equipamento</x:v>
      </x:c>
      <x:c r="D25" s="38" t="str">
        <x:v>Equipamento de teste existente</x:v>
      </x:c>
      <x:c r="E25" s="38" t="str">
        <x:v>Alterar cor/descrição; salvar; recarregar</x:v>
      </x:c>
      <x:c r="F25" s="38" t="str">
        <x:v>Alterações persistem sem trocar o cliente por engano</x:v>
      </x:c>
      <x:c r="G25" s="40" t="str">
        <x:v>Alta</x:v>
      </x:c>
      <x:c r="H25" s="40" t="str">
        <x:v>Sim</x:v>
      </x:c>
      <x:c r="I25" s="38" t="str"/>
      <x:c r="J25" s="38" t="str">
        <x:v>Não iniciado</x:v>
      </x:c>
      <x:c r="K25" s="42"/>
      <x:c r="L25" s="38" t="str"/>
    </x:row>
    <x:row r="26" ht="15" hidden="0" customHeight="1">
      <x:c r="A26" s="38" t="str">
        <x:v>EQP-005</x:v>
      </x:c>
      <x:c r="B26" s="38" t="str">
        <x:v>Equipamentos</x:v>
      </x:c>
      <x:c r="C26" s="38" t="str">
        <x:v>Pesquisar equipamento</x:v>
      </x:c>
      <x:c r="D26" s="38" t="str">
        <x:v>Vários equipamentos cadastrados</x:v>
      </x:c>
      <x:c r="E26" s="38" t="str">
        <x:v>Buscar por cliente, marca, modelo e série</x:v>
      </x:c>
      <x:c r="F26" s="38" t="str">
        <x:v>Resultados correspondem ao termo e continuam legíveis nos temas</x:v>
      </x:c>
      <x:c r="G26" s="40" t="str">
        <x:v>Média</x:v>
      </x:c>
      <x:c r="H26" s="40" t="str">
        <x:v>Não</x:v>
      </x:c>
      <x:c r="I26" s="38" t="str"/>
      <x:c r="J26" s="38" t="str">
        <x:v>Não iniciado</x:v>
      </x:c>
      <x:c r="K26" s="42"/>
      <x:c r="L26" s="38" t="str"/>
    </x:row>
    <x:row r="27" ht="15" hidden="0" customHeight="1">
      <x:c r="A27" s="38" t="str">
        <x:v>EST-001</x:v>
      </x:c>
      <x:c r="B27" s="38" t="str">
        <x:v>Estoque</x:v>
      </x:c>
      <x:c r="C27" s="38" t="str">
        <x:v>Cadastrar peça válida</x:v>
      </x:c>
      <x:c r="D27" s="38" t="str">
        <x:v>Usuário DONO/recepção autorizado</x:v>
      </x:c>
      <x:c r="E27" s="38" t="str">
        <x:v>Cadastrar código, descrição, categoria, quantidade, custo e preço</x:v>
      </x:c>
      <x:c r="F27" s="38" t="str">
        <x:v>Item aparece com saldo e valores corretos</x:v>
      </x:c>
      <x:c r="G27" s="40" t="str">
        <x:v>Alta</x:v>
      </x:c>
      <x:c r="H27" s="40" t="str">
        <x:v>Sim</x:v>
      </x:c>
      <x:c r="I27" s="38" t="str">
        <x:v>Anotar saldo inicial</x:v>
      </x:c>
      <x:c r="J27" s="38" t="str">
        <x:v>Não iniciado</x:v>
      </x:c>
      <x:c r="K27" s="42"/>
      <x:c r="L27" s="38" t="str"/>
    </x:row>
    <x:row r="28" ht="15" hidden="0" customHeight="1">
      <x:c r="A28" s="38" t="str">
        <x:v>EST-002</x:v>
      </x:c>
      <x:c r="B28" s="38" t="str">
        <x:v>Estoque</x:v>
      </x:c>
      <x:c r="C28" s="38" t="str">
        <x:v>Campos e valores inválidos</x:v>
      </x:c>
      <x:c r="D28" s="38" t="str">
        <x:v>Modal de nova peça aberto</x:v>
      </x:c>
      <x:c r="E28" s="38" t="str">
        <x:v>Usar código vazio, quantidade negativa e valor inválido</x:v>
      </x:c>
      <x:c r="F28" s="38" t="str">
        <x:v>Cada erro é explicado e nada é gravado parcialmente</x:v>
      </x:c>
      <x:c r="G28" s="40" t="str">
        <x:v>Alta</x:v>
      </x:c>
      <x:c r="H28" s="40" t="str">
        <x:v>Não</x:v>
      </x:c>
      <x:c r="I28" s="38" t="str"/>
      <x:c r="J28" s="38" t="str">
        <x:v>Não iniciado</x:v>
      </x:c>
      <x:c r="K28" s="42"/>
      <x:c r="L28" s="38" t="str"/>
    </x:row>
    <x:row r="29" ht="15" hidden="0" customHeight="1">
      <x:c r="A29" s="38" t="str">
        <x:v>EST-003</x:v>
      </x:c>
      <x:c r="B29" s="38" t="str">
        <x:v>Estoque</x:v>
      </x:c>
      <x:c r="C29" s="38" t="str">
        <x:v>Opções comuns e Outro</x:v>
      </x:c>
      <x:c r="D29" s="38" t="str">
        <x:v>Modal de nova peça aberto</x:v>
      </x:c>
      <x:c r="E29" s="38" t="str">
        <x:v>Selecionar opções prontas e depois Outro</x:v>
      </x:c>
      <x:c r="F29" s="38" t="str">
        <x:v>Opções facilitam cadastro; campo livre aparece apenas para Outro</x:v>
      </x:c>
      <x:c r="G29" s="40" t="str">
        <x:v>Média</x:v>
      </x:c>
      <x:c r="H29" s="40" t="str">
        <x:v>Sim</x:v>
      </x:c>
      <x:c r="I29" s="38" t="str"/>
      <x:c r="J29" s="38" t="str">
        <x:v>Não iniciado</x:v>
      </x:c>
      <x:c r="K29" s="42"/>
      <x:c r="L29" s="38" t="str"/>
    </x:row>
    <x:row r="30" ht="21.600000381469727" hidden="0" customHeight="1">
      <x:c r="A30" s="38" t="str">
        <x:v>EST-004</x:v>
      </x:c>
      <x:c r="B30" s="38" t="str">
        <x:v>Estoque</x:v>
      </x:c>
      <x:c r="C30" s="38" t="str">
        <x:v>Ajuste de entrada</x:v>
      </x:c>
      <x:c r="D30" s="38" t="str">
        <x:v>Item existente</x:v>
      </x:c>
      <x:c r="E30" s="38" t="str">
        <x:v>Registrar entrada e recarregar</x:v>
      </x:c>
      <x:c r="F30" s="38" t="str">
        <x:v>Saldo aumenta exatamente pela quantidade informada e há rastreabilidade</x:v>
      </x:c>
      <x:c r="G30" s="40" t="str">
        <x:v>Alta</x:v>
      </x:c>
      <x:c r="H30" s="40" t="str">
        <x:v>Sim</x:v>
      </x:c>
      <x:c r="I30" s="38" t="str">
        <x:v>Anotar antes/depois</x:v>
      </x:c>
      <x:c r="J30" s="38" t="str">
        <x:v>Não iniciado</x:v>
      </x:c>
      <x:c r="K30" s="42"/>
      <x:c r="L30" s="38" t="str"/>
    </x:row>
    <x:row r="31" ht="15" hidden="0" customHeight="1">
      <x:c r="A31" s="38" t="str">
        <x:v>EST-005</x:v>
      </x:c>
      <x:c r="B31" s="38" t="str">
        <x:v>Estoque</x:v>
      </x:c>
      <x:c r="C31" s="38" t="str">
        <x:v>Saldo insuficiente</x:v>
      </x:c>
      <x:c r="D31" s="38" t="str">
        <x:v>Item com saldo baixo</x:v>
      </x:c>
      <x:c r="E31" s="38" t="str">
        <x:v>Tentar consumir quantidade maior via OS</x:v>
      </x:c>
      <x:c r="F31" s="38" t="str">
        <x:v>Aprovação/manutenção é bloqueada sem baixa parcial</x:v>
      </x:c>
      <x:c r="G31" s="40" t="str">
        <x:v>Crítica</x:v>
      </x:c>
      <x:c r="H31" s="40" t="str">
        <x:v>Sim</x:v>
      </x:c>
      <x:c r="I31" s="38" t="str">
        <x:v>Executar via fluxo OS</x:v>
      </x:c>
      <x:c r="J31" s="38" t="str">
        <x:v>Não iniciado</x:v>
      </x:c>
      <x:c r="K31" s="42"/>
      <x:c r="L31" s="38" t="str"/>
    </x:row>
    <x:row r="32" ht="21.600000381469727" hidden="0" customHeight="1">
      <x:c r="A32" s="38" t="str">
        <x:v>OS-001</x:v>
      </x:c>
      <x:c r="B32" s="38" t="str">
        <x:v>Ordem de serviço</x:v>
      </x:c>
      <x:c r="C32" s="38" t="str">
        <x:v>Criar OS com equipamento existente</x:v>
      </x:c>
      <x:c r="D32" s="38" t="str">
        <x:v>Cliente e equipamento existentes</x:v>
      </x:c>
      <x:c r="E32" s="38" t="str">
        <x:v>Nova OS; localizar cliente; escolher equipamento; motivo e prioridade; salvar</x:v>
      </x:c>
      <x:c r="F32" s="38" t="str">
        <x:v>OS é criada em RECEBIDO com número único</x:v>
      </x:c>
      <x:c r="G32" s="40" t="str">
        <x:v>Crítica</x:v>
      </x:c>
      <x:c r="H32" s="40" t="str">
        <x:v>Sim</x:v>
      </x:c>
      <x:c r="I32" s="38" t="str"/>
      <x:c r="J32" s="38" t="str">
        <x:v>Não iniciado</x:v>
      </x:c>
      <x:c r="K32" s="42"/>
      <x:c r="L32" s="38" t="str"/>
    </x:row>
    <x:row r="33" ht="15" hidden="0" customHeight="1">
      <x:c r="A33" s="38" t="str">
        <x:v>OS-002</x:v>
      </x:c>
      <x:c r="B33" s="38" t="str">
        <x:v>Ordem de serviço</x:v>
      </x:c>
      <x:c r="C33" s="38" t="str">
        <x:v>Criar cliente/equipamento no fluxo</x:v>
      </x:c>
      <x:c r="D33" s="38" t="str">
        <x:v>Não usar registro existente</x:v>
      </x:c>
      <x:c r="E33" s="38" t="str">
        <x:v>Nova OS; cadastrar cliente e equipamento sem sair do fluxo; concluir</x:v>
      </x:c>
      <x:c r="F33" s="38" t="str">
        <x:v>Cadastros são vinculados e a OS é criada uma única vez</x:v>
      </x:c>
      <x:c r="G33" s="40" t="str">
        <x:v>Alta</x:v>
      </x:c>
      <x:c r="H33" s="40" t="str">
        <x:v>Sim</x:v>
      </x:c>
      <x:c r="I33" s="38" t="str">
        <x:v>Usar CPF/série exclusivos</x:v>
      </x:c>
      <x:c r="J33" s="38" t="str">
        <x:v>Não iniciado</x:v>
      </x:c>
      <x:c r="K33" s="42"/>
      <x:c r="L33" s="38" t="str"/>
    </x:row>
    <x:row r="34" ht="15" hidden="0" customHeight="1">
      <x:c r="A34" s="38" t="str">
        <x:v>OS-003</x:v>
      </x:c>
      <x:c r="B34" s="38" t="str">
        <x:v>Ordem de serviço</x:v>
      </x:c>
      <x:c r="C34" s="38" t="str">
        <x:v>Motivo comum</x:v>
      </x:c>
      <x:c r="D34" s="38" t="str">
        <x:v>Fluxo de nova OS aberto</x:v>
      </x:c>
      <x:c r="E34" s="38" t="str">
        <x:v>Abrir campo Motivo; escolher um problema listado</x:v>
      </x:c>
      <x:c r="F34" s="38" t="str">
        <x:v>Somente o motivo escolhido é salvo; interface não fica poluída</x:v>
      </x:c>
      <x:c r="G34" s="40" t="str">
        <x:v>Média</x:v>
      </x:c>
      <x:c r="H34" s="40" t="str">
        <x:v>Sim</x:v>
      </x:c>
      <x:c r="I34" s="38" t="str"/>
      <x:c r="J34" s="38" t="str">
        <x:v>Não iniciado</x:v>
      </x:c>
      <x:c r="K34" s="42"/>
      <x:c r="L34" s="38" t="str"/>
    </x:row>
    <x:row r="35" ht="15" hidden="0" customHeight="1">
      <x:c r="A35" s="38" t="str">
        <x:v>OS-004</x:v>
      </x:c>
      <x:c r="B35" s="38" t="str">
        <x:v>Ordem de serviço</x:v>
      </x:c>
      <x:c r="C35" s="38" t="str">
        <x:v>Motivo Outro</x:v>
      </x:c>
      <x:c r="D35" s="38" t="str">
        <x:v>Fluxo de nova OS aberto</x:v>
      </x:c>
      <x:c r="E35" s="38" t="str">
        <x:v>Selecionar Outro problema; preencher descrição; salvar</x:v>
      </x:c>
      <x:c r="F35" s="38" t="str">
        <x:v>Descrição livre torna-se obrigatória e aparece na OS</x:v>
      </x:c>
      <x:c r="G35" s="40" t="str">
        <x:v>Alta</x:v>
      </x:c>
      <x:c r="H35" s="40" t="str">
        <x:v>Sim</x:v>
      </x:c>
      <x:c r="I35" s="38" t="str"/>
      <x:c r="J35" s="38" t="str">
        <x:v>Não iniciado</x:v>
      </x:c>
      <x:c r="K35" s="42"/>
      <x:c r="L35" s="38" t="str"/>
    </x:row>
    <x:row r="36" ht="15" hidden="0" customHeight="1">
      <x:c r="A36" s="38" t="str">
        <x:v>OS-005</x:v>
      </x:c>
      <x:c r="B36" s="38" t="str">
        <x:v>Ordem de serviço</x:v>
      </x:c>
      <x:c r="C36" s="38" t="str">
        <x:v>Autoatribuição no diagnóstico</x:v>
      </x:c>
      <x:c r="D36" s="38" t="str">
        <x:v>OS RECEBIDO; usuário DONO ou TECNICO</x:v>
      </x:c>
      <x:c r="E36" s="38" t="str">
        <x:v>Abrir Atualizar; iniciar análise e salvar diagnóstico</x:v>
      </x:c>
      <x:c r="F36" s="38" t="str">
        <x:v>Responsável passa a ser o usuário autenticado quando aplicável</x:v>
      </x:c>
      <x:c r="G36" s="40" t="str">
        <x:v>Crítica</x:v>
      </x:c>
      <x:c r="H36" s="40" t="str">
        <x:v>Sim</x:v>
      </x:c>
      <x:c r="I36" s="38" t="str"/>
      <x:c r="J36" s="38" t="str">
        <x:v>Não iniciado</x:v>
      </x:c>
      <x:c r="K36" s="42"/>
      <x:c r="L36" s="38" t="str"/>
    </x:row>
    <x:row r="37" ht="15" hidden="0" customHeight="1">
      <x:c r="A37" s="38" t="str">
        <x:v>OS-006</x:v>
      </x:c>
      <x:c r="B37" s="38" t="str">
        <x:v>Ordem de serviço</x:v>
      </x:c>
      <x:c r="C37" s="38" t="str">
        <x:v>Diagnóstico por opções</x:v>
      </x:c>
      <x:c r="D37" s="38" t="str">
        <x:v>OS em análise</x:v>
      </x:c>
      <x:c r="E37" s="38" t="str">
        <x:v>Selecionar diagnóstico comum e complementar quando necessário</x:v>
      </x:c>
      <x:c r="F37" s="38" t="str">
        <x:v>Diagnóstico fica claro, persiste e aparece nos detalhes</x:v>
      </x:c>
      <x:c r="G37" s="40" t="str">
        <x:v>Alta</x:v>
      </x:c>
      <x:c r="H37" s="40" t="str">
        <x:v>Sim</x:v>
      </x:c>
      <x:c r="I37" s="38" t="str"/>
      <x:c r="J37" s="38" t="str">
        <x:v>Não iniciado</x:v>
      </x:c>
      <x:c r="K37" s="42"/>
      <x:c r="L37" s="38" t="str"/>
    </x:row>
    <x:row r="38" ht="15" hidden="0" customHeight="1">
      <x:c r="A38" s="38" t="str">
        <x:v>OS-007</x:v>
      </x:c>
      <x:c r="B38" s="38" t="str">
        <x:v>Ordem de serviço</x:v>
      </x:c>
      <x:c r="C38" s="38" t="str">
        <x:v>Somente serviço</x:v>
      </x:c>
      <x:c r="D38" s="38" t="str">
        <x:v>OS em análise</x:v>
      </x:c>
      <x:c r="E38" s="38" t="str">
        <x:v>Adicionar serviço sem peça, quantidade e valor; salvar orçamento</x:v>
      </x:c>
      <x:c r="F38" s="38" t="str">
        <x:v>Total é calculado; estoque não muda; OS pode ir à aprovação</x:v>
      </x:c>
      <x:c r="G38" s="40" t="str">
        <x:v>Crítica</x:v>
      </x:c>
      <x:c r="H38" s="40" t="str">
        <x:v>Sim</x:v>
      </x:c>
      <x:c r="I38" s="38" t="str">
        <x:v>Anotar saldo antes/depois</x:v>
      </x:c>
      <x:c r="J38" s="38" t="str">
        <x:v>Não iniciado</x:v>
      </x:c>
      <x:c r="K38" s="42"/>
      <x:c r="L38" s="38" t="str"/>
    </x:row>
    <x:row r="39" ht="15" hidden="0" customHeight="1">
      <x:c r="A39" s="38" t="str">
        <x:v>OS-008</x:v>
      </x:c>
      <x:c r="B39" s="38" t="str">
        <x:v>Ordem de serviço</x:v>
      </x:c>
      <x:c r="C39" s="38" t="str">
        <x:v>Peça do estoque</x:v>
      </x:c>
      <x:c r="D39" s="38" t="str">
        <x:v>OS em análise; item com saldo</x:v>
      </x:c>
      <x:c r="E39" s="38" t="str">
        <x:v>Adicionar peça do estoque e serviço; salvar; enviar; aprovar</x:v>
      </x:c>
      <x:c r="F39" s="38" t="str">
        <x:v>Baixa ocorre somente após aprovação e quantidade é exata</x:v>
      </x:c>
      <x:c r="G39" s="40" t="str">
        <x:v>Crítica</x:v>
      </x:c>
      <x:c r="H39" s="40" t="str">
        <x:v>Sim</x:v>
      </x:c>
      <x:c r="I39" s="38" t="str">
        <x:v>Anotar saldo em cada etapa</x:v>
      </x:c>
      <x:c r="J39" s="38" t="str">
        <x:v>Não iniciado</x:v>
      </x:c>
      <x:c r="K39" s="42"/>
      <x:c r="L39" s="38" t="str"/>
    </x:row>
    <x:row r="40" ht="21.600000381469727" hidden="0" customHeight="1">
      <x:c r="A40" s="38" t="str">
        <x:v>OS-009</x:v>
      </x:c>
      <x:c r="B40" s="38" t="str">
        <x:v>Ordem de serviço</x:v>
      </x:c>
      <x:c r="C40" s="38" t="str">
        <x:v>Peça de fornecedor</x:v>
      </x:c>
      <x:c r="D40" s="38" t="str">
        <x:v>OS em análise</x:v>
      </x:c>
      <x:c r="E40" s="38" t="str">
        <x:v>Adicionar peça externa com custo interno e preço cobrado; avançar compra</x:v>
      </x:c>
      <x:c r="F40" s="38" t="str">
        <x:v>Fornecedor/custo não aparecem ao cliente; estoque próprio não baixa</x:v>
      </x:c>
      <x:c r="G40" s="40" t="str">
        <x:v>Crítica</x:v>
      </x:c>
      <x:c r="H40" s="40" t="str">
        <x:v>Sim</x:v>
      </x:c>
      <x:c r="I40" s="38" t="str">
        <x:v>Testar estados solicitada/comprada/recebida</x:v>
      </x:c>
      <x:c r="J40" s="38" t="str">
        <x:v>Não iniciado</x:v>
      </x:c>
      <x:c r="K40" s="42"/>
      <x:c r="L40" s="38" t="str"/>
    </x:row>
    <x:row r="41" ht="15" hidden="0" customHeight="1">
      <x:c r="A41" s="38" t="str">
        <x:v>OS-010</x:v>
      </x:c>
      <x:c r="B41" s="38" t="str">
        <x:v>Ordem de serviço</x:v>
      </x:c>
      <x:c r="C41" s="38" t="str">
        <x:v>Orçamento misto</x:v>
      </x:c>
      <x:c r="D41" s="38" t="str">
        <x:v>OS em análise</x:v>
      </x:c>
      <x:c r="E41" s="38" t="str">
        <x:v>Adicionar serviço, peça do estoque e peça externa</x:v>
      </x:c>
      <x:c r="F41" s="38" t="str">
        <x:v>Total soma itens; só peça de estoque altera saldo após aprovação</x:v>
      </x:c>
      <x:c r="G41" s="40" t="str">
        <x:v>Crítica</x:v>
      </x:c>
      <x:c r="H41" s="40" t="str">
        <x:v>Sim</x:v>
      </x:c>
      <x:c r="I41" s="38" t="str"/>
      <x:c r="J41" s="38" t="str">
        <x:v>Não iniciado</x:v>
      </x:c>
      <x:c r="K41" s="42"/>
      <x:c r="L41" s="38" t="str"/>
    </x:row>
    <x:row r="42" ht="15" hidden="0" customHeight="1">
      <x:c r="A42" s="38" t="str">
        <x:v>OS-011</x:v>
      </x:c>
      <x:c r="B42" s="38" t="str">
        <x:v>Ordem de serviço</x:v>
      </x:c>
      <x:c r="C42" s="38" t="str">
        <x:v>Valor unitário e total</x:v>
      </x:c>
      <x:c r="D42" s="38" t="str">
        <x:v>OS em análise</x:v>
      </x:c>
      <x:c r="E42" s="38" t="str">
        <x:v>Adicionar itens com quantidade maior que 1 e valores com centavos</x:v>
      </x:c>
      <x:c r="F42" s="38" t="str">
        <x:v>Subtotal e total são corretos e aparecem na pré-nota</x:v>
      </x:c>
      <x:c r="G42" s="40" t="str">
        <x:v>Alta</x:v>
      </x:c>
      <x:c r="H42" s="40" t="str">
        <x:v>Sim</x:v>
      </x:c>
      <x:c r="I42" s="38" t="str">
        <x:v>Conferir cálculo manualmente</x:v>
      </x:c>
      <x:c r="J42" s="38" t="str">
        <x:v>Não iniciado</x:v>
      </x:c>
      <x:c r="K42" s="42"/>
      <x:c r="L42" s="38" t="str"/>
    </x:row>
    <x:row r="43" ht="21.600000381469727" hidden="0" customHeight="1">
      <x:c r="A43" s="38" t="str">
        <x:v>OS-012</x:v>
      </x:c>
      <x:c r="B43" s="38" t="str">
        <x:v>Ordem de serviço</x:v>
      </x:c>
      <x:c r="C43" s="38" t="str">
        <x:v>Item não adicionado</x:v>
      </x:c>
      <x:c r="D43" s="38" t="str">
        <x:v>Campos de item preenchidos</x:v>
      </x:c>
      <x:c r="E43" s="38" t="str">
        <x:v>Preencher item sem clicar Adicionar; tentar salvar orçamento</x:v>
      </x:c>
      <x:c r="F43" s="38" t="str">
        <x:v>Sistema informa que o item ainda não foi adicionado ou não o inclui silenciosamente</x:v>
      </x:c>
      <x:c r="G43" s="40" t="str">
        <x:v>Alta</x:v>
      </x:c>
      <x:c r="H43" s="40" t="str">
        <x:v>Não</x:v>
      </x:c>
      <x:c r="I43" s="38" t="str"/>
      <x:c r="J43" s="38" t="str">
        <x:v>Não iniciado</x:v>
      </x:c>
      <x:c r="K43" s="42"/>
      <x:c r="L43" s="38" t="str"/>
    </x:row>
    <x:row r="44" ht="15" hidden="0" customHeight="1">
      <x:c r="A44" s="38" t="str">
        <x:v>OS-013</x:v>
      </x:c>
      <x:c r="B44" s="38" t="str">
        <x:v>Ordem de serviço</x:v>
      </x:c>
      <x:c r="C44" s="38" t="str">
        <x:v>Pré-nota antes da aprovação</x:v>
      </x:c>
      <x:c r="D44" s="38" t="str">
        <x:v>Diagnóstico e orçamento salvos</x:v>
      </x:c>
      <x:c r="E44" s="38" t="str">
        <x:v>Visualizar/gerar pré-nota</x:v>
      </x:c>
      <x:c r="F44" s="38" t="str">
        <x:v>PDF abre/baixa, contém cliente, equipamento, itens comerciais e total</x:v>
      </x:c>
      <x:c r="G44" s="40" t="str">
        <x:v>Crítica</x:v>
      </x:c>
      <x:c r="H44" s="40" t="str">
        <x:v>Não</x:v>
      </x:c>
      <x:c r="I44" s="38" t="str">
        <x:v>Não expor custo/fornecedor</x:v>
      </x:c>
      <x:c r="J44" s="38" t="str">
        <x:v>Não iniciado</x:v>
      </x:c>
      <x:c r="K44" s="42"/>
      <x:c r="L44" s="38" t="str"/>
    </x:row>
    <x:row r="45" ht="21.600000381469727" hidden="0" customHeight="1">
      <x:c r="A45" s="38" t="str">
        <x:v>OS-014</x:v>
      </x:c>
      <x:c r="B45" s="38" t="str">
        <x:v>Ordem de serviço</x:v>
      </x:c>
      <x:c r="C45" s="38" t="str">
        <x:v>Enviar para aprovação</x:v>
      </x:c>
      <x:c r="D45" s="38" t="str">
        <x:v>OS com diagnóstico e orçamento válidos</x:v>
      </x:c>
      <x:c r="E45" s="38" t="str">
        <x:v>Clicar para enviar ao cliente/aprovação</x:v>
      </x:c>
      <x:c r="F45" s="38" t="str">
        <x:v>Status vira AGUARDANDO_APROVACAO; botão de diagnóstico não persiste indevidamente</x:v>
      </x:c>
      <x:c r="G45" s="40" t="str">
        <x:v>Crítica</x:v>
      </x:c>
      <x:c r="H45" s="40" t="str">
        <x:v>Sim</x:v>
      </x:c>
      <x:c r="I45" s="38" t="str"/>
      <x:c r="J45" s="38" t="str">
        <x:v>Não iniciado</x:v>
      </x:c>
      <x:c r="K45" s="42"/>
      <x:c r="L45" s="38" t="str"/>
    </x:row>
    <x:row r="46" ht="15" hidden="0" customHeight="1">
      <x:c r="A46" s="38" t="str">
        <x:v>OS-015</x:v>
      </x:c>
      <x:c r="B46" s="38" t="str">
        <x:v>Ordem de serviço</x:v>
      </x:c>
      <x:c r="C46" s="38" t="str">
        <x:v>Aprovação do cliente</x:v>
      </x:c>
      <x:c r="D46" s="38" t="str">
        <x:v>OS aguardando aprovação</x:v>
      </x:c>
      <x:c r="E46" s="38" t="str">
        <x:v>Registrar aprovação e conferir status/saldo</x:v>
      </x:c>
      <x:c r="F46" s="38" t="str">
        <x:v>Status vira EM_MANUTENCAO e consumo de estoque é atômico</x:v>
      </x:c>
      <x:c r="G46" s="40" t="str">
        <x:v>Crítica</x:v>
      </x:c>
      <x:c r="H46" s="40" t="str">
        <x:v>Sim</x:v>
      </x:c>
      <x:c r="I46" s="38" t="str"/>
      <x:c r="J46" s="38" t="str">
        <x:v>Não iniciado</x:v>
      </x:c>
      <x:c r="K46" s="42"/>
      <x:c r="L46" s="38" t="str"/>
    </x:row>
    <x:row r="47" ht="15" hidden="0" customHeight="1">
      <x:c r="A47" s="38" t="str">
        <x:v>OS-016</x:v>
      </x:c>
      <x:c r="B47" s="38" t="str">
        <x:v>Ordem de serviço</x:v>
      </x:c>
      <x:c r="C47" s="38" t="str">
        <x:v>Recusa do cliente</x:v>
      </x:c>
      <x:c r="D47" s="38" t="str">
        <x:v>OS aguardando aprovação</x:v>
      </x:c>
      <x:c r="E47" s="38" t="str">
        <x:v>Registrar recusa/cancelamento</x:v>
      </x:c>
      <x:c r="F47" s="38" t="str">
        <x:v>OS cancela sem baixar estoque não consumido</x:v>
      </x:c>
      <x:c r="G47" s="40" t="str">
        <x:v>Crítica</x:v>
      </x:c>
      <x:c r="H47" s="40" t="str">
        <x:v>Sim</x:v>
      </x:c>
      <x:c r="I47" s="38" t="str"/>
      <x:c r="J47" s="38" t="str">
        <x:v>Não iniciado</x:v>
      </x:c>
      <x:c r="K47" s="42"/>
      <x:c r="L47" s="38" t="str"/>
    </x:row>
    <x:row r="48" ht="15" hidden="0" customHeight="1">
      <x:c r="A48" s="38" t="str">
        <x:v>OS-017</x:v>
      </x:c>
      <x:c r="B48" s="38" t="str">
        <x:v>Ordem de serviço</x:v>
      </x:c>
      <x:c r="C48" s="38" t="str">
        <x:v>Compra externa pendente</x:v>
      </x:c>
      <x:c r="D48" s="38" t="str">
        <x:v>OS aprovada com peça externa necessária</x:v>
      </x:c>
      <x:c r="E48" s="38" t="str">
        <x:v>Tentar iniciar manutenção antes de marcar recebida</x:v>
      </x:c>
      <x:c r="F48" s="38" t="str">
        <x:v>Sistema bloqueia ou orienta concluir recebimento da compra</x:v>
      </x:c>
      <x:c r="G48" s="40" t="str">
        <x:v>Alta</x:v>
      </x:c>
      <x:c r="H48" s="40" t="str">
        <x:v>Sim</x:v>
      </x:c>
      <x:c r="I48" s="38" t="str">
        <x:v>Conferir regra implementada</x:v>
      </x:c>
      <x:c r="J48" s="38" t="str">
        <x:v>Não iniciado</x:v>
      </x:c>
      <x:c r="K48" s="42"/>
      <x:c r="L48" s="38" t="str"/>
    </x:row>
    <x:row r="49" ht="15" hidden="0" customHeight="1">
      <x:c r="A49" s="38" t="str">
        <x:v>OS-018</x:v>
      </x:c>
      <x:c r="B49" s="38" t="str">
        <x:v>Ordem de serviço</x:v>
      </x:c>
      <x:c r="C49" s="38" t="str">
        <x:v>Concluir e entregar</x:v>
      </x:c>
      <x:c r="D49" s="38" t="str">
        <x:v>OS em manutenção válida</x:v>
      </x:c>
      <x:c r="E49" s="38" t="str">
        <x:v>Concluir; depois registrar entrega</x:v>
      </x:c>
      <x:c r="F49" s="38" t="str">
        <x:v>Datas/status seguem ordem e OS termina ENTREGUE</x:v>
      </x:c>
      <x:c r="G49" s="40" t="str">
        <x:v>Crítica</x:v>
      </x:c>
      <x:c r="H49" s="40" t="str">
        <x:v>Sim</x:v>
      </x:c>
      <x:c r="I49" s="38" t="str"/>
      <x:c r="J49" s="38" t="str">
        <x:v>Não iniciado</x:v>
      </x:c>
      <x:c r="K49" s="42"/>
      <x:c r="L49" s="38" t="str"/>
    </x:row>
    <x:row r="50" ht="15" hidden="0" customHeight="1">
      <x:c r="A50" s="38" t="str">
        <x:v>OS-019</x:v>
      </x:c>
      <x:c r="B50" s="38" t="str">
        <x:v>Ordem de serviço</x:v>
      </x:c>
      <x:c r="C50" s="38" t="str">
        <x:v>Cancelar após baixa</x:v>
      </x:c>
      <x:c r="D50" s="38" t="str">
        <x:v>OS em manutenção com peça baixada</x:v>
      </x:c>
      <x:c r="E50" s="38" t="str">
        <x:v>Cancelar e escolher destino devolver/consumida-perdida</x:v>
      </x:c>
      <x:c r="F50" s="38" t="str">
        <x:v>Saldo e histórico refletem exatamente a decisão</x:v>
      </x:c>
      <x:c r="G50" s="40" t="str">
        <x:v>Crítica</x:v>
      </x:c>
      <x:c r="H50" s="40" t="str">
        <x:v>Sim</x:v>
      </x:c>
      <x:c r="I50" s="38" t="str">
        <x:v>Anotar saldo; teste destrutivo</x:v>
      </x:c>
      <x:c r="J50" s="38" t="str">
        <x:v>Não iniciado</x:v>
      </x:c>
      <x:c r="K50" s="42"/>
      <x:c r="L50" s="38" t="str"/>
    </x:row>
    <x:row r="51" ht="15" hidden="0" customHeight="1">
      <x:c r="A51" s="38" t="str">
        <x:v>OS-020</x:v>
      </x:c>
      <x:c r="B51" s="38" t="str">
        <x:v>Ordem de serviço</x:v>
      </x:c>
      <x:c r="C51" s="38" t="str">
        <x:v>Impedir salto de etapa</x:v>
      </x:c>
      <x:c r="D51" s="38" t="str">
        <x:v>OS recebida ou em análise</x:v>
      </x:c>
      <x:c r="E51" s="38" t="str">
        <x:v>Tentar concluir/entregar diretamente</x:v>
      </x:c>
      <x:c r="F51" s="38" t="str">
        <x:v>Ação é recusada com explicação da etapa obrigatória</x:v>
      </x:c>
      <x:c r="G51" s="40" t="str">
        <x:v>Crítica</x:v>
      </x:c>
      <x:c r="H51" s="40" t="str">
        <x:v>Não</x:v>
      </x:c>
      <x:c r="I51" s="38" t="str"/>
      <x:c r="J51" s="38" t="str">
        <x:v>Não iniciado</x:v>
      </x:c>
      <x:c r="K51" s="42"/>
      <x:c r="L51" s="38" t="str"/>
    </x:row>
    <x:row r="52" ht="15" hidden="0" customHeight="1">
      <x:c r="A52" s="38" t="str">
        <x:v>OS-021</x:v>
      </x:c>
      <x:c r="B52" s="38" t="str">
        <x:v>Ordem de serviço</x:v>
      </x:c>
      <x:c r="C52" s="38" t="str">
        <x:v>Pesquisar e filtrar</x:v>
      </x:c>
      <x:c r="D52" s="38" t="str">
        <x:v>Existem OS em status diferentes</x:v>
      </x:c>
      <x:c r="E52" s="38" t="str">
        <x:v>Buscar por número/cliente/equipamento/relato; filtrar status; ordenar</x:v>
      </x:c>
      <x:c r="F52" s="38" t="str">
        <x:v>Lista corresponde aos filtros e pode ser restaurada</x:v>
      </x:c>
      <x:c r="G52" s="40" t="str">
        <x:v>Média</x:v>
      </x:c>
      <x:c r="H52" s="40" t="str">
        <x:v>Não</x:v>
      </x:c>
      <x:c r="I52" s="38" t="str"/>
      <x:c r="J52" s="38" t="str">
        <x:v>Não iniciado</x:v>
      </x:c>
      <x:c r="K52" s="42"/>
      <x:c r="L52" s="38" t="str"/>
    </x:row>
    <x:row r="53" ht="15" hidden="0" customHeight="1">
      <x:c r="A53" s="38" t="str">
        <x:v>OS-022</x:v>
      </x:c>
      <x:c r="B53" s="38" t="str">
        <x:v>Ordem de serviço</x:v>
      </x:c>
      <x:c r="C53" s="38" t="str">
        <x:v>Visualizar e atualizar</x:v>
      </x:c>
      <x:c r="D53" s="38" t="str">
        <x:v>OS existente</x:v>
      </x:c>
      <x:c r="E53" s="38" t="str">
        <x:v>Abrir Detalhes e Atualizar nos temas claro/escuro</x:v>
      </x:c>
      <x:c r="F53" s="38" t="str">
        <x:v>Modal cabe na tela, campos alinham e ações válidas são visíveis</x:v>
      </x:c>
      <x:c r="G53" s="40" t="str">
        <x:v>Alta</x:v>
      </x:c>
      <x:c r="H53" s="40" t="str">
        <x:v>Não</x:v>
      </x:c>
      <x:c r="I53" s="38" t="str"/>
      <x:c r="J53" s="38" t="str">
        <x:v>Não iniciado</x:v>
      </x:c>
      <x:c r="K53" s="42"/>
      <x:c r="L53" s="38" t="str"/>
    </x:row>
    <x:row r="54" ht="15" hidden="0" customHeight="1">
      <x:c r="A54" s="38" t="str">
        <x:v>OS-023</x:v>
      </x:c>
      <x:c r="B54" s="38" t="str">
        <x:v>Ordem de serviço</x:v>
      </x:c>
      <x:c r="C54" s="38" t="str">
        <x:v>Histórico básico</x:v>
      </x:c>
      <x:c r="D54" s="38" t="str">
        <x:v>OS percorreu várias etapas</x:v>
      </x:c>
      <x:c r="E54" s="38" t="str">
        <x:v>Abrir detalhes/histórico</x:v>
      </x:c>
      <x:c r="F54" s="38" t="str">
        <x:v>Mudanças de status mostram data, usuário e valores anterior/novo</x:v>
      </x:c>
      <x:c r="G54" s="40" t="str">
        <x:v>Alta</x:v>
      </x:c>
      <x:c r="H54" s="40" t="str">
        <x:v>Não</x:v>
      </x:c>
      <x:c r="I54" s="38" t="str"/>
      <x:c r="J54" s="38" t="str">
        <x:v>Não iniciado</x:v>
      </x:c>
      <x:c r="K54" s="42"/>
      <x:c r="L54" s="38" t="str"/>
    </x:row>
    <x:row r="55" ht="21.600000381469727" hidden="0" customHeight="1">
      <x:c r="A55" s="38" t="str">
        <x:v>PERM-001</x:v>
      </x:c>
      <x:c r="B55" s="38" t="str">
        <x:v>Permissões</x:v>
      </x:c>
      <x:c r="C55" s="38" t="str">
        <x:v>Recepcionista</x:v>
      </x:c>
      <x:c r="D55" s="38" t="str">
        <x:v>Conta RECEPCIONISTA ativa</x:v>
      </x:c>
      <x:c r="E55" s="38" t="str">
        <x:v>Tentar cadastrar cliente/equipamento, alterar orçamento, estoque e entregar</x:v>
      </x:c>
      <x:c r="F55" s="38" t="str">
        <x:v>Somente ações autorizadas aparecem e API bloqueia as demais</x:v>
      </x:c>
      <x:c r="G55" s="40" t="str">
        <x:v>Crítica</x:v>
      </x:c>
      <x:c r="H55" s="40" t="str">
        <x:v>Não</x:v>
      </x:c>
      <x:c r="I55" s="38" t="str">
        <x:v>Usar conta de teste</x:v>
      </x:c>
      <x:c r="J55" s="38" t="str">
        <x:v>Não iniciado</x:v>
      </x:c>
      <x:c r="K55" s="42"/>
      <x:c r="L55" s="38" t="str"/>
    </x:row>
    <x:row r="56" ht="15" hidden="0" customHeight="1">
      <x:c r="A56" s="38" t="str">
        <x:v>PERM-002</x:v>
      </x:c>
      <x:c r="B56" s="38" t="str">
        <x:v>Permissões</x:v>
      </x:c>
      <x:c r="C56" s="38" t="str">
        <x:v>Técnico</x:v>
      </x:c>
      <x:c r="D56" s="38" t="str">
        <x:v>Conta TECNICO ativa</x:v>
      </x:c>
      <x:c r="E56" s="38" t="str">
        <x:v>Assumir/diagnosticar OS; tentar entregar ou ajustar estoque</x:v>
      </x:c>
      <x:c r="F56" s="38" t="str">
        <x:v>Pode atuar tecnicamente; ações administrativas são bloqueadas</x:v>
      </x:c>
      <x:c r="G56" s="40" t="str">
        <x:v>Crítica</x:v>
      </x:c>
      <x:c r="H56" s="40" t="str">
        <x:v>Não</x:v>
      </x:c>
      <x:c r="I56" s="38" t="str"/>
      <x:c r="J56" s="38" t="str">
        <x:v>Não iniciado</x:v>
      </x:c>
      <x:c r="K56" s="42"/>
      <x:c r="L56" s="38" t="str"/>
    </x:row>
    <x:row r="57" ht="15" hidden="0" customHeight="1">
      <x:c r="A57" s="38" t="str">
        <x:v>PERM-003</x:v>
      </x:c>
      <x:c r="B57" s="38" t="str">
        <x:v>Permissões</x:v>
      </x:c>
      <x:c r="C57" s="38" t="str">
        <x:v>Técnico em OS alheia</x:v>
      </x:c>
      <x:c r="D57" s="38" t="str">
        <x:v>Duas contas técnicas e OS atribuída</x:v>
      </x:c>
      <x:c r="E57" s="38" t="str">
        <x:v>Segundo técnico tenta alterar a OS</x:v>
      </x:c>
      <x:c r="F57" s="38" t="str">
        <x:v>Regra de responsabilidade é aplicada e explicada</x:v>
      </x:c>
      <x:c r="G57" s="40" t="str">
        <x:v>Crítica</x:v>
      </x:c>
      <x:c r="H57" s="40" t="str">
        <x:v>Não</x:v>
      </x:c>
      <x:c r="I57" s="38" t="str"/>
      <x:c r="J57" s="38" t="str">
        <x:v>Não iniciado</x:v>
      </x:c>
      <x:c r="K57" s="42"/>
      <x:c r="L57" s="38" t="str"/>
    </x:row>
    <x:row r="58" ht="15" hidden="0" customHeight="1">
      <x:c r="A58" s="38" t="str">
        <x:v>SEC-001</x:v>
      </x:c>
      <x:c r="B58" s="38" t="str">
        <x:v>Segurança</x:v>
      </x:c>
      <x:c r="C58" s="38" t="str">
        <x:v>Isolamento entre assistências</x:v>
      </x:c>
      <x:c r="D58" s="38" t="str">
        <x:v>Duas assistências e contas de teste</x:v>
      </x:c>
      <x:c r="E58" s="38" t="str">
        <x:v>Com conta A, pesquisar/abrir IDs conhecidos da assistência B</x:v>
      </x:c>
      <x:c r="F58" s="38" t="str">
        <x:v>Lista, detalhes e alterações não expõem dados da outra assistência</x:v>
      </x:c>
      <x:c r="G58" s="40" t="str">
        <x:v>Crítica</x:v>
      </x:c>
      <x:c r="H58" s="40" t="str">
        <x:v>Não</x:v>
      </x:c>
      <x:c r="I58" s="38" t="str">
        <x:v>Obrigatório antes da produção</x:v>
      </x:c>
      <x:c r="J58" s="38" t="str">
        <x:v>Não iniciado</x:v>
      </x:c>
      <x:c r="K58" s="42"/>
      <x:c r="L58" s="38" t="str"/>
    </x:row>
    <x:row r="59" ht="15" hidden="0" customHeight="1">
      <x:c r="A59" s="38" t="str">
        <x:v>SEC-002</x:v>
      </x:c>
      <x:c r="B59" s="38" t="str">
        <x:v>Segurança</x:v>
      </x:c>
      <x:c r="C59" s="38" t="str">
        <x:v>Acesso direto sem sessão</x:v>
      </x:c>
      <x:c r="D59" s="38" t="str">
        <x:v>Sessão encerrada</x:v>
      </x:c>
      <x:c r="E59" s="38" t="str">
        <x:v>Abrir URL interna e chamar ação protegida pela interface</x:v>
      </x:c>
      <x:c r="F59" s="38" t="str">
        <x:v>Redireciona/pede login; nenhum dado protegido é exibido</x:v>
      </x:c>
      <x:c r="G59" s="40" t="str">
        <x:v>Crítica</x:v>
      </x:c>
      <x:c r="H59" s="40" t="str">
        <x:v>Não</x:v>
      </x:c>
      <x:c r="I59" s="38" t="str"/>
      <x:c r="J59" s="38" t="str">
        <x:v>Não iniciado</x:v>
      </x:c>
      <x:c r="K59" s="42"/>
      <x:c r="L59" s="38" t="str"/>
    </x:row>
    <x:row r="60" ht="15" hidden="0" customHeight="1">
      <x:c r="A60" s="38" t="str">
        <x:v>UPD-001</x:v>
      </x:c>
      <x:c r="B60" s="38" t="str">
        <x:v>Atualizações</x:v>
      </x:c>
      <x:c r="C60" s="38" t="str">
        <x:v>Acesso exclusivo ao painel</x:v>
      </x:c>
      <x:c r="D60" s="38" t="str">
        <x:v>Conta Luis admin e outra conta DONO</x:v>
      </x:c>
      <x:c r="E60" s="38" t="str">
        <x:v>Abrir Administração com ambas</x:v>
      </x:c>
      <x:c r="F60" s="38" t="str">
        <x:v>Somente Luis com claim administrativo e perfil ativo acessa</x:v>
      </x:c>
      <x:c r="G60" s="40" t="str">
        <x:v>Crítica</x:v>
      </x:c>
      <x:c r="H60" s="40" t="str">
        <x:v>Não</x:v>
      </x:c>
      <x:c r="I60" s="38" t="str">
        <x:v>Somente homologação</x:v>
      </x:c>
      <x:c r="J60" s="38" t="str">
        <x:v>Não iniciado</x:v>
      </x:c>
      <x:c r="K60" s="42"/>
      <x:c r="L60" s="38" t="str"/>
    </x:row>
    <x:row r="61" ht="15" hidden="0" customHeight="1">
      <x:c r="A61" s="38" t="str">
        <x:v>UPD-002</x:v>
      </x:c>
      <x:c r="B61" s="38" t="str">
        <x:v>Atualizações</x:v>
      </x:c>
      <x:c r="C61" s="38" t="str">
        <x:v>ZIP inválido</x:v>
      </x:c>
      <x:c r="D61" s="38" t="str">
        <x:v>Painel administrativo aberto</x:v>
      </x:c>
      <x:c r="E61" s="38" t="str">
        <x:v>Enviar arquivo não ZIP, ZIP grande ou sem release.json</x:v>
      </x:c>
      <x:c r="F61" s="38" t="str">
        <x:v>Upload/análise bloqueia e mostra motivo sem executar conteúdo</x:v>
      </x:c>
      <x:c r="G61" s="40" t="str">
        <x:v>Crítica</x:v>
      </x:c>
      <x:c r="H61" s="40" t="str">
        <x:v>Não</x:v>
      </x:c>
      <x:c r="I61" s="38" t="str">
        <x:v>Somente homologação</x:v>
      </x:c>
      <x:c r="J61" s="38" t="str">
        <x:v>Não iniciado</x:v>
      </x:c>
      <x:c r="K61" s="42"/>
      <x:c r="L61" s="38" t="str"/>
    </x:row>
    <x:row r="62" ht="15" hidden="0" customHeight="1">
      <x:c r="A62" s="38" t="str">
        <x:v>UPD-003</x:v>
      </x:c>
      <x:c r="B62" s="38" t="str">
        <x:v>Atualizações</x:v>
      </x:c>
      <x:c r="C62" s="38" t="str">
        <x:v>Segredos e caminhos inseguros</x:v>
      </x:c>
      <x:c r="D62" s="38" t="str">
        <x:v>Criar ZIP de teste sem segredo real</x:v>
      </x:c>
      <x:c r="E62" s="38" t="str">
        <x:v>Incluir .env fictício, ../, link ou node_modules; analisar</x:v>
      </x:c>
      <x:c r="F62" s="38" t="str">
        <x:v>Pacote é bloqueado e nada é extraído/executado</x:v>
      </x:c>
      <x:c r="G62" s="40" t="str">
        <x:v>Crítica</x:v>
      </x:c>
      <x:c r="H62" s="40" t="str">
        <x:v>Não</x:v>
      </x:c>
      <x:c r="I62" s="38" t="str">
        <x:v>Somente homologação</x:v>
      </x:c>
      <x:c r="J62" s="38" t="str">
        <x:v>Não iniciado</x:v>
      </x:c>
      <x:c r="K62" s="42"/>
      <x:c r="L62" s="38" t="str"/>
    </x:row>
    <x:row r="63" ht="15" hidden="0" customHeight="1">
      <x:c r="A63" s="38" t="str">
        <x:v>UPD-004</x:v>
      </x:c>
      <x:c r="B63" s="38" t="str">
        <x:v>Atualizações</x:v>
      </x:c>
      <x:c r="C63" s="38" t="str">
        <x:v>Plano do pacote de código</x:v>
      </x:c>
      <x:c r="D63" s="38" t="str">
        <x:v>ZIP válido de código</x:v>
      </x:c>
      <x:c r="E63" s="38" t="str">
        <x:v>Enviar e analisar; expandir plano; baixar relatório</x:v>
      </x:c>
      <x:c r="F63" s="38" t="str">
        <x:v>Exibe hashes, arquivos, SQL e bloqueios; Aplicar continua desabilitado</x:v>
      </x:c>
      <x:c r="G63" s="40" t="str">
        <x:v>Alta</x:v>
      </x:c>
      <x:c r="H63" s="40" t="str">
        <x:v>Não</x:v>
      </x:c>
      <x:c r="I63" s="38" t="str">
        <x:v>Código ainda não é instalável</x:v>
      </x:c>
      <x:c r="J63" s="38" t="str">
        <x:v>Não iniciado</x:v>
      </x:c>
      <x:c r="K63" s="42"/>
      <x:c r="L63" s="38" t="str"/>
    </x:row>
    <x:row r="64" ht="15" hidden="0" customHeight="1">
      <x:c r="A64" s="38" t="str">
        <x:v>UPD-005</x:v>
      </x:c>
      <x:c r="B64" s="38" t="str">
        <x:v>Atualizações</x:v>
      </x:c>
      <x:c r="C64" s="38" t="str">
        <x:v>Testes do repositório</x:v>
      </x:c>
      <x:c r="D64" s="38" t="str">
        <x:v>Conector GitHub configurado</x:v>
      </x:c>
      <x:c r="E64" s="38" t="str">
        <x:v>Consultar conexão; confirmar commit; solicitar testes; abrir resultado</x:v>
      </x:c>
      <x:c r="F64" s="38" t="str">
        <x:v>Execução corresponde ao commit e não aprova o ZIP automaticamente</x:v>
      </x:c>
      <x:c r="G64" s="40" t="str">
        <x:v>Alta</x:v>
      </x:c>
      <x:c r="H64" s="40" t="str">
        <x:v>Não</x:v>
      </x:c>
      <x:c r="I64" s="38" t="str">
        <x:v>Pode consumir minutos de CI</x:v>
      </x:c>
      <x:c r="J64" s="38" t="str">
        <x:v>Não iniciado</x:v>
      </x:c>
      <x:c r="K64" s="42"/>
      <x:c r="L64" s="38" t="str"/>
    </x:row>
    <x:row r="65" ht="15" hidden="0" customHeight="1">
      <x:c r="A65" s="38" t="str">
        <x:v>UPD-006</x:v>
      </x:c>
      <x:c r="B65" s="38" t="str">
        <x:v>Atualizações</x:v>
      </x:c>
      <x:c r="C65" s="38" t="str">
        <x:v>Aplicar tema compatível</x:v>
      </x:c>
      <x:c r="D65" s="38" t="str">
        <x:v>Pacote de tema com base atual</x:v>
      </x:c>
      <x:c r="E65" s="38" t="str">
        <x:v>Enviar, analisar, abrir prévia, digitar confirmação e aplicar</x:v>
      </x:c>
      <x:c r="F65" s="38" t="str">
        <x:v>Tema muda, revisão aumenta e auditoria registra usuário/hash</x:v>
      </x:c>
      <x:c r="G65" s="40" t="str">
        <x:v>Alta</x:v>
      </x:c>
      <x:c r="H65" s="40" t="str">
        <x:v>Sim</x:v>
      </x:c>
      <x:c r="I65" s="38" t="str">
        <x:v>Somente homologação</x:v>
      </x:c>
      <x:c r="J65" s="38" t="str">
        <x:v>Não iniciado</x:v>
      </x:c>
      <x:c r="K65" s="42"/>
      <x:c r="L65" s="38" t="str"/>
    </x:row>
    <x:row r="66" ht="15" hidden="0" customHeight="1">
      <x:c r="A66" s="38" t="str">
        <x:v>UPD-007</x:v>
      </x:c>
      <x:c r="B66" s="38" t="str">
        <x:v>Atualizações</x:v>
      </x:c>
      <x:c r="C66" s="38" t="str">
        <x:v>Tema incompatível</x:v>
      </x:c>
      <x:c r="D66" s="38" t="str">
        <x:v>Tema cuja base difere da instalada</x:v>
      </x:c>
      <x:c r="E66" s="38" t="str">
        <x:v>Tentar visualizar/aplicar</x:v>
      </x:c>
      <x:c r="F66" s="38" t="str">
        <x:v>Aplicação é bloqueada com mensagem de versão-base incompatível</x:v>
      </x:c>
      <x:c r="G66" s="40" t="str">
        <x:v>Alta</x:v>
      </x:c>
      <x:c r="H66" s="40" t="str">
        <x:v>Não</x:v>
      </x:c>
      <x:c r="I66" s="38" t="str"/>
      <x:c r="J66" s="38" t="str">
        <x:v>Não iniciado</x:v>
      </x:c>
      <x:c r="K66" s="42"/>
      <x:c r="L66" s="38" t="str"/>
    </x:row>
    <x:row r="67" ht="15" hidden="0" customHeight="1">
      <x:c r="A67" s="38" t="str">
        <x:v>UPD-008</x:v>
      </x:c>
      <x:c r="B67" s="38" t="str">
        <x:v>Atualizações</x:v>
      </x:c>
      <x:c r="C67" s="38" t="str">
        <x:v>Restaurar tema</x:v>
      </x:c>
      <x:c r="D67" s="38" t="str">
        <x:v>Tema aplicado e snapshot anterior disponível</x:v>
      </x:c>
      <x:c r="E67" s="38" t="str">
        <x:v>Digitar RESTAURAR e confirmar</x:v>
      </x:c>
      <x:c r="F67" s="38" t="str">
        <x:v>Tema anterior volta uma vez e evento fica auditado</x:v>
      </x:c>
      <x:c r="G67" s="40" t="str">
        <x:v>Alta</x:v>
      </x:c>
      <x:c r="H67" s="40" t="str">
        <x:v>Sim</x:v>
      </x:c>
      <x:c r="I67" s="38" t="str">
        <x:v>Somente homologação</x:v>
      </x:c>
      <x:c r="J67" s="38" t="str">
        <x:v>Não iniciado</x:v>
      </x:c>
      <x:c r="K67" s="42"/>
      <x:c r="L67" s="38" t="str"/>
    </x:row>
    <x:row r="68" ht="15" hidden="0" customHeight="1">
      <x:c r="A68" s="38" t="str">
        <x:v>UPD-009</x:v>
      </x:c>
      <x:c r="B68" s="38" t="str">
        <x:v>Atualizações</x:v>
      </x:c>
      <x:c r="C68" s="38" t="str">
        <x:v>Produção bloqueada</x:v>
      </x:c>
      <x:c r="D68" s="38" t="str">
        <x:v>Aplicação apontada para homologação</x:v>
      </x:c>
      <x:c r="E68" s="38" t="str">
        <x:v>Revisar painel e tentar chamada de aplicação de código</x:v>
      </x:c>
      <x:c r="F68" s="38" t="str">
        <x:v>Código/migration/produção permanecem bloqueados</x:v>
      </x:c>
      <x:c r="G68" s="40" t="str">
        <x:v>Crítica</x:v>
      </x:c>
      <x:c r="H68" s="40" t="str">
        <x:v>Não</x:v>
      </x:c>
      <x:c r="I68" s="38" t="str">
        <x:v>Não trocar .env para produção</x:v>
      </x:c>
      <x:c r="J68" s="38" t="str">
        <x:v>Não iniciado</x:v>
      </x:c>
      <x:c r="K68" s="42"/>
      <x:c r="L68" s="38" t="str"/>
    </x:row>
    <x:row r="69" ht="15" hidden="0" customHeight="1">
      <x:c r="A69" s="38" t="str">
        <x:v>ERR-001</x:v>
      </x:c>
      <x:c r="B69" s="38" t="str">
        <x:v>Resiliência</x:v>
      </x:c>
      <x:c r="C69" s="38" t="str">
        <x:v>Duplo clique</x:v>
      </x:c>
      <x:c r="D69" s="38" t="str">
        <x:v>Formulário de cadastro ou mudança de status</x:v>
      </x:c>
      <x:c r="E69" s="38" t="str">
        <x:v>Clicar duas vezes rapidamente no botão de salvar</x:v>
      </x:c>
      <x:c r="F69" s="38" t="str">
        <x:v>Cria/altera uma vez ou bloqueia segunda ação enquanto processa</x:v>
      </x:c>
      <x:c r="G69" s="40" t="str">
        <x:v>Alta</x:v>
      </x:c>
      <x:c r="H69" s="40" t="str">
        <x:v>Sim</x:v>
      </x:c>
      <x:c r="I69" s="38" t="str"/>
      <x:c r="J69" s="38" t="str">
        <x:v>Não iniciado</x:v>
      </x:c>
      <x:c r="K69" s="42"/>
      <x:c r="L69" s="38" t="str"/>
    </x:row>
    <x:row r="70" ht="15" hidden="0" customHeight="1">
      <x:c r="A70" s="38" t="str">
        <x:v>ERR-002</x:v>
      </x:c>
      <x:c r="B70" s="38" t="str">
        <x:v>Resiliência</x:v>
      </x:c>
      <x:c r="C70" s="38" t="str">
        <x:v>Recarregar durante modal</x:v>
      </x:c>
      <x:c r="D70" s="38" t="str">
        <x:v>Alteração não salva aberta</x:v>
      </x:c>
      <x:c r="E70" s="38" t="str">
        <x:v>Recarregar/fechar e voltar</x:v>
      </x:c>
      <x:c r="F70" s="38" t="str">
        <x:v>Não grava estado parcial; dados persistidos continuam consistentes</x:v>
      </x:c>
      <x:c r="G70" s="40" t="str">
        <x:v>Média</x:v>
      </x:c>
      <x:c r="H70" s="40" t="str">
        <x:v>Não</x:v>
      </x:c>
      <x:c r="I70" s="38" t="str"/>
      <x:c r="J70" s="38" t="str">
        <x:v>Não iniciado</x:v>
      </x:c>
      <x:c r="K70" s="42"/>
      <x:c r="L70" s="38" t="str"/>
    </x:row>
    <x:row r="71" ht="15" hidden="0" customHeight="1">
      <x:c r="A71" s="38" t="str">
        <x:v>ERR-003</x:v>
      </x:c>
      <x:c r="B71" s="38" t="str">
        <x:v>Resiliência</x:v>
      </x:c>
      <x:c r="C71" s="38" t="str">
        <x:v>Falha temporária da API</x:v>
      </x:c>
      <x:c r="D71" s="38" t="str">
        <x:v>Sistema aberto</x:v>
      </x:c>
      <x:c r="E71" s="38" t="str">
        <x:v>Parar API controladamente e tentar ação; reiniciar e tentar novamente</x:v>
      </x:c>
      <x:c r="F71" s="38" t="str">
        <x:v>Mensagem compreensível; tentativa posterior funciona sem duplicação</x:v>
      </x:c>
      <x:c r="G71" s="40" t="str">
        <x:v>Alta</x:v>
      </x:c>
      <x:c r="H71" s="40" t="str">
        <x:v>Não</x:v>
      </x:c>
      <x:c r="I71" s="38" t="str">
        <x:v>Executar por último</x:v>
      </x:c>
      <x:c r="J71" s="38" t="str">
        <x:v>Não iniciado</x:v>
      </x:c>
      <x:c r="K71" s="42"/>
      <x:c r="L71" s="38" t="str"/>
    </x:row>
  </x:sheetData>
  <x:mergeCells>
    <x:mergeCell ref="A1:L1"/>
    <x:mergeCell ref="A2:L2"/>
  </x:mergeCells>
  <x:conditionalFormatting sqref="J6:J71">
    <x:cfRule type="containsText" dxfId="0" priority="1" operator="containsText" text="Passou"/>
    <x:cfRule type="containsText" dxfId="1" priority="2" operator="containsText" text="Falhou"/>
    <x:cfRule type="containsText" dxfId="2" priority="3" operator="containsText" text="Em execução"/>
    <x:cfRule type="containsText" dxfId="3" priority="4" operator="containsText" text="Bloqueado"/>
  </x:conditionalFormatting>
  <x:conditionalFormatting sqref="H6:H71">
    <x:cfRule type="containsText" dxfId="4" priority="5" operator="containsText" text="Sim"/>
  </x:conditionalFormatting>
  <x:dataValidations count="3">
    <x:dataValidation type="list" sqref="J6:J205">
      <x:formula1>"Não iniciado,Em execução,Passou,Falhou,Bloqueado,Não se aplica"</x:formula1>
    </x:dataValidation>
    <x:dataValidation type="list" sqref="G6:G205">
      <x:formula1>"Crítica,Alta,Média,Baixa"</x:formula1>
    </x:dataValidation>
    <x:dataValidation type="list" sqref="H6:H20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c2741462b4a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43" t="str">
        <x:v>Status</x:v>
      </x:c>
      <x:c r="B1" s="43" t="str">
        <x:v>Prioridade</x:v>
      </x:c>
      <x:c r="C1" s="43" t="str">
        <x:v>Altera dados</x:v>
      </x:c>
    </x:row>
    <x:row r="2">
      <x:c r="A2" s="44" t="str">
        <x:v>Não iniciado</x:v>
      </x:c>
      <x:c r="B2" s="44" t="str">
        <x:v>Crítica</x:v>
      </x:c>
      <x:c r="C2" s="44" t="str">
        <x:v>Sim</x:v>
      </x:c>
    </x:row>
    <x:row r="3">
      <x:c r="A3" s="44" t="str">
        <x:v>Em execução</x:v>
      </x:c>
      <x:c r="B3" s="44" t="str">
        <x:v>Alta</x:v>
      </x:c>
      <x:c r="C3" s="44" t="str">
        <x:v>Não</x:v>
      </x:c>
    </x:row>
    <x:row r="4">
      <x:c r="A4" s="44" t="str">
        <x:v>Passou</x:v>
      </x:c>
      <x:c r="B4" s="44" t="str">
        <x:v>Média</x:v>
      </x:c>
      <x:c r="C4" s="44"/>
    </x:row>
    <x:row r="5">
      <x:c r="A5" s="44" t="str">
        <x:v>Falhou</x:v>
      </x:c>
      <x:c r="B5" s="44" t="str">
        <x:v>Baixa</x:v>
      </x:c>
      <x:c r="C5" s="44"/>
    </x:row>
    <x:row r="6">
      <x:c r="A6" s="44" t="str">
        <x:v>Bloqueado</x:v>
      </x:c>
      <x:c r="B6" s="44"/>
      <x:c r="C6" s="44"/>
    </x:row>
    <x:row r="7">
      <x:c r="A7" s="44" t="str">
        <x:v>Não se aplica</x:v>
      </x:c>
      <x:c r="B7" s="44"/>
      <x:c r="C7" s="44"/>
    </x:row>
  </x:sheetData>
  <x:pageMargins left="0.7" right="0.7" top="0.75" bottom="0.75" header="0.3" footer="0.3"/>
</x:worksheet>
</file>